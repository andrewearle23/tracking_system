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tables/table1.xml" ContentType="application/vnd.openxmlformats-officedocument.spreadsheetml.table+xml"/>
  <Override PartName="/xl/drawings/drawing2.xml" ContentType="application/vnd.openxmlformats-officedocument.drawing+xml"/>
  <Override PartName="/xl/ctrlProps/ctrlProp8.xml" ContentType="application/vnd.ms-excel.controlpropertie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xl/queryTables/queryTable2.xml" ContentType="application/vnd.openxmlformats-officedocument.spreadsheetml.queryTable+xml"/>
  <Override PartName="/xl/tables/table7.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queryTables/queryTable3.xml" ContentType="application/vnd.openxmlformats-officedocument.spreadsheetml.queryTable+xml"/>
  <Override PartName="/xl/slicers/slicer1.xml" ContentType="application/vnd.ms-excel.slicer+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queryTables/queryTable4.xml" ContentType="application/vnd.openxmlformats-officedocument.spreadsheetml.queryTable+xml"/>
  <Override PartName="/xl/tables/table20.xml" ContentType="application/vnd.openxmlformats-officedocument.spreadsheetml.table+xml"/>
  <Override PartName="/xl/queryTables/queryTable5.xml" ContentType="application/vnd.openxmlformats-officedocument.spreadsheetml.queryTable+xml"/>
  <Override PartName="/xl/tables/table21.xml" ContentType="application/vnd.openxmlformats-officedocument.spreadsheetml.table+xml"/>
  <Override PartName="/xl/queryTables/queryTable6.xml" ContentType="application/vnd.openxmlformats-officedocument.spreadsheetml.queryTable+xml"/>
  <Override PartName="/xl/tables/table22.xml" ContentType="application/vnd.openxmlformats-officedocument.spreadsheetml.table+xml"/>
  <Override PartName="/xl/queryTables/queryTable7.xml" ContentType="application/vnd.openxmlformats-officedocument.spreadsheetml.queryTable+xml"/>
  <Override PartName="/xl/tables/table23.xml" ContentType="application/vnd.openxmlformats-officedocument.spreadsheetml.table+xml"/>
  <Override PartName="/xl/queryTables/queryTable8.xml" ContentType="application/vnd.openxmlformats-officedocument.spreadsheetml.queryTable+xml"/>
  <Override PartName="/xl/tables/table24.xml" ContentType="application/vnd.openxmlformats-officedocument.spreadsheetml.table+xml"/>
  <Override PartName="/xl/queryTables/queryTable9.xml" ContentType="application/vnd.openxmlformats-officedocument.spreadsheetml.queryTable+xml"/>
  <Override PartName="/xl/tables/table25.xml" ContentType="application/vnd.openxmlformats-officedocument.spreadsheetml.table+xml"/>
  <Override PartName="/xl/queryTables/queryTable10.xml" ContentType="application/vnd.openxmlformats-officedocument.spreadsheetml.queryTable+xml"/>
  <Override PartName="/xl/tables/table26.xml" ContentType="application/vnd.openxmlformats-officedocument.spreadsheetml.table+xml"/>
  <Override PartName="/xl/queryTables/queryTable11.xml" ContentType="application/vnd.openxmlformats-officedocument.spreadsheetml.query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codeName="{DD97A8EA-9A9A-E61F-A557-7D5A7D7259CE}"/>
  <workbookPr codeName="ThisWorkbook" defaultThemeVersion="166925"/>
  <mc:AlternateContent xmlns:mc="http://schemas.openxmlformats.org/markup-compatibility/2006">
    <mc:Choice Requires="x15">
      <x15ac:absPath xmlns:x15ac="http://schemas.microsoft.com/office/spreadsheetml/2010/11/ac" url="https://hodarisa-my.sharepoint.com/personal/andrew_puretradeafrica_com/Documents/Desktop/"/>
    </mc:Choice>
  </mc:AlternateContent>
  <xr:revisionPtr revIDLastSave="5859" documentId="14_{BCF0F326-0EE2-4079-BA2F-3992B734C43C}" xr6:coauthVersionLast="47" xr6:coauthVersionMax="47" xr10:uidLastSave="{3BE09CDC-3A23-4EA3-80B2-6BB2E70A8058}"/>
  <bookViews>
    <workbookView xWindow="-120" yWindow="-120" windowWidth="29040" windowHeight="15720" xr2:uid="{E3918152-B73B-487D-993E-F89B4913C2BA}"/>
  </bookViews>
  <sheets>
    <sheet name="Tracking Report" sheetId="1" r:id="rId1"/>
    <sheet name="Mailing List" sheetId="6" r:id="rId2"/>
    <sheet name="Border Comments" sheetId="8" r:id="rId3"/>
    <sheet name="Group Summary" sheetId="5" r:id="rId4"/>
    <sheet name="Demurrage Schedule" sheetId="17" r:id="rId5"/>
    <sheet name="Data Validation" sheetId="2" r:id="rId6"/>
    <sheet name="Data Table" sheetId="3" r:id="rId7"/>
  </sheets>
  <functionGroups builtInGroupCount="19"/>
  <definedNames>
    <definedName name="_xleta.T" hidden="1" xlm="1">#NAME?</definedName>
    <definedName name="_xlpm.src" hidden="1" xlm="1">#NAME?</definedName>
    <definedName name="_xlpm.t" hidden="1" xlm="1">#NAME?</definedName>
    <definedName name="border_of_entry">Table8[Border of Entry]</definedName>
    <definedName name="border_of_exit">Table7[Border of Exit]</definedName>
    <definedName name="clearing_agent">clearing_agent_1[Clearing Agent]</definedName>
    <definedName name="COD_Status">Table16[COD/COC Status]</definedName>
    <definedName name="customer">customer_1[Customer]</definedName>
    <definedName name="ExternalData_1" localSheetId="2" hidden="1">'Border Comments'!$B$2:$G$4</definedName>
    <definedName name="ExternalData_1" localSheetId="5" hidden="1">'Data Validation'!$W$3:$W$80</definedName>
    <definedName name="ExternalData_1" localSheetId="4" hidden="1">'Demurrage Schedule'!$H$7:$M$8</definedName>
    <definedName name="ExternalData_1" localSheetId="3" hidden="1">'Group Summary'!$B$9:$E$10</definedName>
    <definedName name="ExternalData_2" localSheetId="5" hidden="1">'Data Validation'!$Y$3:$Y$99</definedName>
    <definedName name="ExternalData_3" localSheetId="5" hidden="1">'Data Validation'!$AA$3:$AA$10</definedName>
    <definedName name="ExternalData_4" localSheetId="5" hidden="1">'Data Validation'!$AC$3:$AC$95</definedName>
    <definedName name="ExternalData_5" localSheetId="5" hidden="1">'Data Validation'!$AE$3:$AE$93</definedName>
    <definedName name="ExternalData_6" localSheetId="5" hidden="1">'Data Validation'!$AG$3:$AG$40</definedName>
    <definedName name="ExternalData_7" localSheetId="5" hidden="1">'Data Validation'!$AI$3:$AI$85</definedName>
    <definedName name="ExternalData_8" localSheetId="5" hidden="1">'Data Validation'!$AK$3:$AK$74</definedName>
    <definedName name="headers">Header_Options[Header Options]</definedName>
    <definedName name="IR_Status">Table17[IR Status]</definedName>
    <definedName name="loading_point">Table3[Loading Point]</definedName>
    <definedName name="mine">mine_1[Mine]</definedName>
    <definedName name="nationality">nationality_1[Nationality]</definedName>
    <definedName name="offloading_point">Table4[Offloading Point]</definedName>
    <definedName name="product">product_1[Product]</definedName>
    <definedName name="route">Table19[Route]</definedName>
    <definedName name="Slicer_Active">#N/A</definedName>
    <definedName name="status">Table18[Status]</definedName>
    <definedName name="sub_contractor">sub_contractor_1[Sub - Contractor]</definedName>
    <definedName name="transporter">transporter_1[Transporter]</definedName>
    <definedName name="Transporter_Spill">_xlfn.LET(_xlpm.t, transporter, _xlfn._xlws.SORT(_xlfn.UNIQUE(_xlfn._xlws.FILTER(_xlpm.t, _xlpm.t&lt;&gt;""))))</definedName>
    <definedName name="Transporters_Used">_xlfn.ANCHORARRAY('Demurrage Schedule'!$S$2)</definedName>
  </definedNames>
  <calcPr calcId="191029"/>
  <pivotCaches>
    <pivotCache cacheId="0" r:id="rId8"/>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 i="17" l="1"/>
  <c r="B85" i="17" l="1"/>
  <c r="B86" i="17"/>
  <c r="B87" i="17"/>
  <c r="B88" i="17"/>
  <c r="B89" i="17"/>
  <c r="B90" i="17"/>
  <c r="B91" i="17"/>
  <c r="B92" i="17"/>
  <c r="B93" i="17"/>
  <c r="B94" i="17"/>
  <c r="B95" i="17"/>
  <c r="B96" i="17"/>
  <c r="B97" i="17"/>
  <c r="B98" i="17"/>
  <c r="B99" i="17"/>
  <c r="B100" i="17"/>
  <c r="B101" i="17"/>
  <c r="B102" i="17"/>
  <c r="B103" i="17"/>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S2" i="17" a="1"/>
  <c r="S2" i="17" s="1"/>
  <c r="R2" i="17" a="1"/>
  <c r="R2" i="17" s="1"/>
  <c r="B8" i="17" s="1"/>
  <c r="B83" i="17" l="1"/>
  <c r="B84" i="17"/>
  <c r="F8" i="17" a="1"/>
  <c r="F8" i="17" s="1"/>
  <c r="F115" i="17" a="1"/>
  <c r="F115" i="17" s="1"/>
  <c r="F106" i="17" a="1"/>
  <c r="F106" i="17" s="1"/>
  <c r="F154" i="17" a="1"/>
  <c r="F154" i="17" s="1"/>
  <c r="F146" i="17" a="1"/>
  <c r="F146" i="17" s="1"/>
  <c r="F138" i="17" a="1"/>
  <c r="F138" i="17" s="1"/>
  <c r="F130" i="17" a="1"/>
  <c r="F130" i="17" s="1"/>
  <c r="F122" i="17" a="1"/>
  <c r="F122" i="17" s="1"/>
  <c r="F89" i="17" a="1"/>
  <c r="F89" i="17" s="1"/>
  <c r="F114" i="17" a="1"/>
  <c r="F114" i="17" s="1"/>
  <c r="F155" i="17" a="1"/>
  <c r="F155" i="17" s="1"/>
  <c r="F147" i="17" a="1"/>
  <c r="F147" i="17" s="1"/>
  <c r="F139" i="17" a="1"/>
  <c r="F139" i="17" s="1"/>
  <c r="F131" i="17" a="1"/>
  <c r="F131" i="17" s="1"/>
  <c r="F123" i="17" a="1"/>
  <c r="F123" i="17" s="1"/>
  <c r="F98" i="17" a="1"/>
  <c r="F98" i="17" s="1"/>
  <c r="F90" i="17" a="1"/>
  <c r="F90" i="17" s="1"/>
  <c r="F145" i="17" a="1"/>
  <c r="F145" i="17" s="1"/>
  <c r="F137" i="17" a="1"/>
  <c r="F137" i="17" s="1"/>
  <c r="F121" i="17" a="1"/>
  <c r="F121" i="17" s="1"/>
  <c r="F113" i="17" a="1"/>
  <c r="F113" i="17" s="1"/>
  <c r="F97" i="17" a="1"/>
  <c r="F97" i="17" s="1"/>
  <c r="F152" i="17" a="1"/>
  <c r="F152" i="17" s="1"/>
  <c r="F144" i="17" a="1"/>
  <c r="F144" i="17" s="1"/>
  <c r="F136" i="17" a="1"/>
  <c r="F136" i="17" s="1"/>
  <c r="F120" i="17" a="1"/>
  <c r="F120" i="17" s="1"/>
  <c r="F112" i="17" a="1"/>
  <c r="F112" i="17" s="1"/>
  <c r="F104" i="17" a="1"/>
  <c r="F104" i="17" s="1"/>
  <c r="F88" i="17" a="1"/>
  <c r="F88" i="17" s="1"/>
  <c r="F150" i="17" a="1"/>
  <c r="F150" i="17" s="1"/>
  <c r="F142" i="17" a="1"/>
  <c r="F142" i="17" s="1"/>
  <c r="F134" i="17" a="1"/>
  <c r="F134" i="17" s="1"/>
  <c r="F126" i="17" a="1"/>
  <c r="F126" i="17" s="1"/>
  <c r="F118" i="17" a="1"/>
  <c r="F118" i="17" s="1"/>
  <c r="F110" i="17" a="1"/>
  <c r="F110" i="17" s="1"/>
  <c r="F102" i="17" a="1"/>
  <c r="F102" i="17" s="1"/>
  <c r="F94" i="17" a="1"/>
  <c r="F94" i="17" s="1"/>
  <c r="F86" i="17" a="1"/>
  <c r="F86" i="17" s="1"/>
  <c r="F153" i="17" a="1"/>
  <c r="F153" i="17" s="1"/>
  <c r="F129" i="17" a="1"/>
  <c r="F129" i="17" s="1"/>
  <c r="F105" i="17" a="1"/>
  <c r="F105" i="17" s="1"/>
  <c r="F128" i="17" a="1"/>
  <c r="F128" i="17" s="1"/>
  <c r="F96" i="17" a="1"/>
  <c r="F96" i="17" s="1"/>
  <c r="F151" i="17" a="1"/>
  <c r="F151" i="17" s="1"/>
  <c r="F143" i="17" a="1"/>
  <c r="F143" i="17" s="1"/>
  <c r="F135" i="17" a="1"/>
  <c r="F135" i="17" s="1"/>
  <c r="F127" i="17" a="1"/>
  <c r="F127" i="17" s="1"/>
  <c r="F119" i="17" a="1"/>
  <c r="F119" i="17" s="1"/>
  <c r="F111" i="17" a="1"/>
  <c r="F111" i="17" s="1"/>
  <c r="F103" i="17" a="1"/>
  <c r="F103" i="17" s="1"/>
  <c r="F95" i="17" a="1"/>
  <c r="F95" i="17" s="1"/>
  <c r="F87" i="17" a="1"/>
  <c r="F87" i="17" s="1"/>
  <c r="F157" i="17" a="1"/>
  <c r="F157" i="17" s="1"/>
  <c r="F149" i="17" a="1"/>
  <c r="F149" i="17" s="1"/>
  <c r="F141" i="17" a="1"/>
  <c r="F141" i="17" s="1"/>
  <c r="F133" i="17" a="1"/>
  <c r="F133" i="17" s="1"/>
  <c r="F125" i="17" a="1"/>
  <c r="F125" i="17" s="1"/>
  <c r="F117" i="17" a="1"/>
  <c r="F117" i="17" s="1"/>
  <c r="F109" i="17" a="1"/>
  <c r="F109" i="17" s="1"/>
  <c r="F101" i="17" a="1"/>
  <c r="F101" i="17" s="1"/>
  <c r="F93" i="17" a="1"/>
  <c r="F93" i="17" s="1"/>
  <c r="F85" i="17" a="1"/>
  <c r="F85" i="17" s="1"/>
  <c r="F156" i="17" a="1"/>
  <c r="F156" i="17" s="1"/>
  <c r="F148" i="17" a="1"/>
  <c r="F148" i="17" s="1"/>
  <c r="F140" i="17" a="1"/>
  <c r="F140" i="17" s="1"/>
  <c r="F132" i="17" a="1"/>
  <c r="F132" i="17" s="1"/>
  <c r="F124" i="17" a="1"/>
  <c r="F124" i="17" s="1"/>
  <c r="F116" i="17" a="1"/>
  <c r="F116" i="17" s="1"/>
  <c r="F108" i="17" a="1"/>
  <c r="F108" i="17" s="1"/>
  <c r="F100" i="17" a="1"/>
  <c r="F100" i="17" s="1"/>
  <c r="F92" i="17" a="1"/>
  <c r="F92" i="17" s="1"/>
  <c r="F84" i="17" a="1"/>
  <c r="F84" i="17" s="1"/>
  <c r="F107" i="17" a="1"/>
  <c r="F107" i="17" s="1"/>
  <c r="F99" i="17" a="1"/>
  <c r="F99" i="17" s="1"/>
  <c r="F91" i="17" a="1"/>
  <c r="F91" i="17" s="1"/>
  <c r="F83" i="17" a="1"/>
  <c r="F83" i="17" s="1"/>
  <c r="B13" i="17"/>
  <c r="F13" i="17" s="1" a="1"/>
  <c r="F13" i="17" s="1"/>
  <c r="B56" i="17"/>
  <c r="F56" i="17" s="1" a="1"/>
  <c r="F56" i="17" s="1"/>
  <c r="B16" i="17"/>
  <c r="F16" i="17" s="1" a="1"/>
  <c r="F16" i="17" s="1"/>
  <c r="B78" i="17"/>
  <c r="F78" i="17" s="1" a="1"/>
  <c r="F78" i="17" s="1"/>
  <c r="B46" i="17"/>
  <c r="F46" i="17" s="1" a="1"/>
  <c r="F46" i="17" s="1"/>
  <c r="B14" i="17"/>
  <c r="F14" i="17" s="1" a="1"/>
  <c r="F14" i="17" s="1"/>
  <c r="B77" i="17"/>
  <c r="F77" i="17" s="1" a="1"/>
  <c r="F77" i="17" s="1"/>
  <c r="B21" i="17"/>
  <c r="F21" i="17" s="1" a="1"/>
  <c r="F21" i="17" s="1"/>
  <c r="B76" i="17"/>
  <c r="F76" i="17" s="1" a="1"/>
  <c r="F76" i="17" s="1"/>
  <c r="B68" i="17"/>
  <c r="F68" i="17" s="1" a="1"/>
  <c r="F68" i="17" s="1"/>
  <c r="B60" i="17"/>
  <c r="F60" i="17" s="1" a="1"/>
  <c r="F60" i="17" s="1"/>
  <c r="B52" i="17"/>
  <c r="F52" i="17" s="1" a="1"/>
  <c r="F52" i="17" s="1"/>
  <c r="B44" i="17"/>
  <c r="F44" i="17" s="1" a="1"/>
  <c r="F44" i="17" s="1"/>
  <c r="B36" i="17"/>
  <c r="F36" i="17" s="1" a="1"/>
  <c r="F36" i="17" s="1"/>
  <c r="B28" i="17"/>
  <c r="F28" i="17" s="1" a="1"/>
  <c r="F28" i="17" s="1"/>
  <c r="B20" i="17"/>
  <c r="F20" i="17" s="1" a="1"/>
  <c r="F20" i="17" s="1"/>
  <c r="B12" i="17"/>
  <c r="F12" i="17" s="1" a="1"/>
  <c r="F12" i="17" s="1"/>
  <c r="B63" i="17"/>
  <c r="F63" i="17" s="1" a="1"/>
  <c r="F63" i="17" s="1"/>
  <c r="B39" i="17"/>
  <c r="F39" i="17" s="1" a="1"/>
  <c r="F39" i="17" s="1"/>
  <c r="B15" i="17"/>
  <c r="F15" i="17" s="1" a="1"/>
  <c r="F15" i="17" s="1"/>
  <c r="B70" i="17"/>
  <c r="F70" i="17" s="1" a="1"/>
  <c r="F70" i="17" s="1"/>
  <c r="B30" i="17"/>
  <c r="F30" i="17" s="1" a="1"/>
  <c r="F30" i="17" s="1"/>
  <c r="B61" i="17"/>
  <c r="F61" i="17" s="1" a="1"/>
  <c r="F61" i="17" s="1"/>
  <c r="B37" i="17"/>
  <c r="F37" i="17" s="1" a="1"/>
  <c r="F37" i="17" s="1"/>
  <c r="B75" i="17"/>
  <c r="F75" i="17" s="1" a="1"/>
  <c r="F75" i="17" s="1"/>
  <c r="B67" i="17"/>
  <c r="F67" i="17" s="1" a="1"/>
  <c r="F67" i="17" s="1"/>
  <c r="B59" i="17"/>
  <c r="F59" i="17" s="1" a="1"/>
  <c r="F59" i="17" s="1"/>
  <c r="B51" i="17"/>
  <c r="F51" i="17" s="1" a="1"/>
  <c r="F51" i="17" s="1"/>
  <c r="B43" i="17"/>
  <c r="F43" i="17" s="1" a="1"/>
  <c r="F43" i="17" s="1"/>
  <c r="B35" i="17"/>
  <c r="F35" i="17" s="1" a="1"/>
  <c r="F35" i="17" s="1"/>
  <c r="B27" i="17"/>
  <c r="F27" i="17" s="1" a="1"/>
  <c r="F27" i="17" s="1"/>
  <c r="B19" i="17"/>
  <c r="F19" i="17" s="1" a="1"/>
  <c r="F19" i="17" s="1"/>
  <c r="B11" i="17"/>
  <c r="F11" i="17" s="1" a="1"/>
  <c r="F11" i="17" s="1"/>
  <c r="B64" i="17"/>
  <c r="F64" i="17" s="1" a="1"/>
  <c r="F64" i="17" s="1"/>
  <c r="B40" i="17"/>
  <c r="F40" i="17" s="1" a="1"/>
  <c r="F40" i="17" s="1"/>
  <c r="B32" i="17"/>
  <c r="F32" i="17" s="1" a="1"/>
  <c r="F32" i="17" s="1"/>
  <c r="B79" i="17"/>
  <c r="F79" i="17" s="1" a="1"/>
  <c r="F79" i="17" s="1"/>
  <c r="B55" i="17"/>
  <c r="F55" i="17" s="1" a="1"/>
  <c r="F55" i="17" s="1"/>
  <c r="B31" i="17"/>
  <c r="F31" i="17" s="1" a="1"/>
  <c r="F31" i="17" s="1"/>
  <c r="B54" i="17"/>
  <c r="F54" i="17" s="1" a="1"/>
  <c r="F54" i="17" s="1"/>
  <c r="B22" i="17"/>
  <c r="F22" i="17" s="1" a="1"/>
  <c r="F22" i="17" s="1"/>
  <c r="B69" i="17"/>
  <c r="F69" i="17" s="1" a="1"/>
  <c r="F69" i="17" s="1"/>
  <c r="B45" i="17"/>
  <c r="F45" i="17" s="1" a="1"/>
  <c r="F45" i="17" s="1"/>
  <c r="B82" i="17"/>
  <c r="F82" i="17" s="1" a="1"/>
  <c r="F82" i="17" s="1"/>
  <c r="B74" i="17"/>
  <c r="F74" i="17" s="1" a="1"/>
  <c r="F74" i="17" s="1"/>
  <c r="B66" i="17"/>
  <c r="F66" i="17" s="1" a="1"/>
  <c r="F66" i="17" s="1"/>
  <c r="B58" i="17"/>
  <c r="F58" i="17" s="1" a="1"/>
  <c r="F58" i="17" s="1"/>
  <c r="B50" i="17"/>
  <c r="F50" i="17" s="1" a="1"/>
  <c r="F50" i="17" s="1"/>
  <c r="B42" i="17"/>
  <c r="F42" i="17" s="1" a="1"/>
  <c r="F42" i="17" s="1"/>
  <c r="B34" i="17"/>
  <c r="F34" i="17" s="1" a="1"/>
  <c r="F34" i="17" s="1"/>
  <c r="B26" i="17"/>
  <c r="F26" i="17" s="1" a="1"/>
  <c r="F26" i="17" s="1"/>
  <c r="B18" i="17"/>
  <c r="F18" i="17" s="1" a="1"/>
  <c r="F18" i="17" s="1"/>
  <c r="B10" i="17"/>
  <c r="F10" i="17" s="1" a="1"/>
  <c r="F10" i="17" s="1"/>
  <c r="B80" i="17"/>
  <c r="F80" i="17" s="1" a="1"/>
  <c r="F80" i="17" s="1"/>
  <c r="B72" i="17"/>
  <c r="F72" i="17" s="1" a="1"/>
  <c r="F72" i="17" s="1"/>
  <c r="B48" i="17"/>
  <c r="F48" i="17" s="1" a="1"/>
  <c r="F48" i="17" s="1"/>
  <c r="B24" i="17"/>
  <c r="F24" i="17" s="1" a="1"/>
  <c r="F24" i="17" s="1"/>
  <c r="B71" i="17"/>
  <c r="F71" i="17" s="1" a="1"/>
  <c r="F71" i="17" s="1"/>
  <c r="B47" i="17"/>
  <c r="F47" i="17" s="1" a="1"/>
  <c r="F47" i="17" s="1"/>
  <c r="B23" i="17"/>
  <c r="F23" i="17" s="1" a="1"/>
  <c r="F23" i="17" s="1"/>
  <c r="B62" i="17"/>
  <c r="F62" i="17" s="1" a="1"/>
  <c r="F62" i="17" s="1"/>
  <c r="B38" i="17"/>
  <c r="F38" i="17" s="1" a="1"/>
  <c r="F38" i="17" s="1"/>
  <c r="B53" i="17"/>
  <c r="F53" i="17" s="1" a="1"/>
  <c r="F53" i="17" s="1"/>
  <c r="B29" i="17"/>
  <c r="F29" i="17" s="1" a="1"/>
  <c r="F29" i="17" s="1"/>
  <c r="B81" i="17"/>
  <c r="F81" i="17" s="1" a="1"/>
  <c r="F81" i="17" s="1"/>
  <c r="B73" i="17"/>
  <c r="F73" i="17" s="1" a="1"/>
  <c r="F73" i="17" s="1"/>
  <c r="B65" i="17"/>
  <c r="F65" i="17" s="1" a="1"/>
  <c r="F65" i="17" s="1"/>
  <c r="B57" i="17"/>
  <c r="F57" i="17" s="1" a="1"/>
  <c r="F57" i="17" s="1"/>
  <c r="B49" i="17"/>
  <c r="F49" i="17" s="1" a="1"/>
  <c r="F49" i="17" s="1"/>
  <c r="B41" i="17"/>
  <c r="F41" i="17" s="1" a="1"/>
  <c r="F41" i="17" s="1"/>
  <c r="B33" i="17"/>
  <c r="F33" i="17" s="1" a="1"/>
  <c r="F33" i="17" s="1"/>
  <c r="B25" i="17"/>
  <c r="F25" i="17" s="1" a="1"/>
  <c r="F25" i="17" s="1"/>
  <c r="B17" i="17"/>
  <c r="F17" i="17" s="1" a="1"/>
  <c r="F17" i="17" s="1"/>
  <c r="B9" i="17"/>
  <c r="F9" i="17" s="1" a="1"/>
  <c r="F9" i="17" s="1"/>
  <c r="I6" i="1"/>
  <c r="I5" i="1"/>
  <c r="I4" i="1"/>
  <c r="I7" i="1" l="1"/>
  <c r="D13" i="1"/>
  <c r="F5" i="6" l="1" a="1"/>
  <c r="F5" i="6" s="1"/>
  <c r="F6" i="6"/>
  <c r="F8" i="6"/>
  <c r="F4" i="6"/>
  <c r="B7" i="5"/>
  <c r="B6" i="5"/>
  <c r="B5" i="5"/>
  <c r="B4" i="5"/>
  <c r="C3" i="5"/>
  <c r="B3" i="5"/>
  <c r="I13" i="1"/>
  <c r="J13" i="1"/>
  <c r="K13" i="1"/>
  <c r="AN13" i="1"/>
  <c r="C6" i="5" l="1"/>
  <c r="C5" i="5"/>
  <c r="C4" i="5"/>
  <c r="F2" i="3"/>
  <c r="E2" i="3"/>
  <c r="D2" i="3"/>
  <c r="C2" i="3"/>
  <c r="B2" i="3"/>
  <c r="A2" i="3"/>
  <c r="G2" i="3" l="1"/>
  <c r="C7" i="5"/>
  <c r="H2" i="3"/>
  <c r="I2" i="3"/>
  <c r="J2"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1A03C1-0FD5-4657-A010-602E372CE1A1}" keepAlive="1" name="Query - Border Comments" description="Connection to the 'Border Comments' query in the workbook." type="5" refreshedVersion="8" saveData="1">
    <dbPr connection="Provider=Microsoft.Mashup.OleDb.1;Data Source=$Workbook$;Location=&quot;Border Comments&quot;;Extended Properties=&quot;&quot;" command="SELECT * FROM [Border Comments]"/>
  </connection>
  <connection id="2" xr16:uid="{7353B58E-3E41-42C6-8956-4041B0BF2EA0}" keepAlive="1" name="Query - clearing_agent" description="Connection to the 'clearing_agent' query in the workbook." type="5" refreshedVersion="8" saveData="1">
    <dbPr connection="Provider=Microsoft.Mashup.OleDb.1;Data Source=$Workbook$;Location=clearing_agent;Extended Properties=&quot;&quot;" command="SELECT * FROM [clearing_agent]"/>
  </connection>
  <connection id="3" xr16:uid="{A17D2CB1-7F5F-4FD6-A127-0916ADDC737A}" keepAlive="1" name="Query - customer" description="Connection to the 'customer' query in the workbook." type="5" refreshedVersion="8" saveData="1">
    <dbPr connection="Provider=Microsoft.Mashup.OleDb.1;Data Source=$Workbook$;Location=customer;Extended Properties=&quot;&quot;" command="SELECT * FROM [customer]"/>
  </connection>
  <connection id="4" xr16:uid="{69B65643-BDA3-4E3C-9CAA-F83B3C6DA2EE}" keepAlive="1" name="Query - Demurrage Schedule" description="Connection to the 'Demurrage Schedule' query in the workbook." type="5" refreshedVersion="8" saveData="1">
    <dbPr connection="Provider=Microsoft.Mashup.OleDb.1;Data Source=$Workbook$;Location=&quot;Demurrage Schedule&quot;;Extended Properties=&quot;&quot;" command="SELECT * FROM [Demurrage Schedule]"/>
  </connection>
  <connection id="5" xr16:uid="{08FC61EA-D4E7-43D5-9AE5-F33DAE722BCF}" keepAlive="1" name="Query - Group Summary" description="Connection to the 'Group Summary' query in the workbook." type="5" refreshedVersion="8" saveData="1">
    <dbPr connection="Provider=Microsoft.Mashup.OleDb.1;Data Source=$Workbook$;Location=&quot;Group Summary&quot;;Extended Properties=&quot;&quot;" command="SELECT * FROM [Group Summary]"/>
  </connection>
  <connection id="6" xr16:uid="{BC74E81A-60CD-4E4A-A97E-4BC9F208B414}" keepAlive="1" name="Query - headers" description="Connection to the 'headers' query in the workbook." type="5" refreshedVersion="8" saveData="1">
    <dbPr connection="Provider=Microsoft.Mashup.OleDb.1;Data Source=$Workbook$;Location=headers;Extended Properties=&quot;&quot;" command="SELECT * FROM [headers]"/>
  </connection>
  <connection id="7" xr16:uid="{BCFCF4BA-FA0D-4A9B-B6BB-025BE3567854}" keepAlive="1" name="Query - mine" description="Connection to the 'mine' query in the workbook." type="5" refreshedVersion="8" saveData="1">
    <dbPr connection="Provider=Microsoft.Mashup.OleDb.1;Data Source=$Workbook$;Location=mine;Extended Properties=&quot;&quot;" command="SELECT * FROM [mine]"/>
  </connection>
  <connection id="8" xr16:uid="{46425D0C-5E44-481C-BE65-63AC1182B8FE}" keepAlive="1" name="Query - nationality" description="Connection to the 'nationality' query in the workbook." type="5" refreshedVersion="8" saveData="1">
    <dbPr connection="Provider=Microsoft.Mashup.OleDb.1;Data Source=$Workbook$;Location=nationality;Extended Properties=&quot;&quot;" command="SELECT * FROM [nationality]"/>
  </connection>
  <connection id="9" xr16:uid="{C40B0405-BDED-44D0-8B0E-B3F7C32E2A47}" keepAlive="1" name="Query - Parameter1" description="Connection to the 'Parameter1' query in the workbook." type="5" refreshedVersion="0">
    <dbPr connection="Provider=Microsoft.Mashup.OleDb.1;Data Source=$Workbook$;Location=Parameter1;Extended Properties=&quot;&quot;" command="SELECT * FROM [Parameter1]"/>
  </connection>
  <connection id="10" xr16:uid="{3BA80123-7919-4E01-9BF6-C548001D5BB4}" keepAlive="1" name="Query - product" description="Connection to the 'product' query in the workbook." type="5" refreshedVersion="8" saveData="1">
    <dbPr connection="Provider=Microsoft.Mashup.OleDb.1;Data Source=$Workbook$;Location=product;Extended Properties=&quot;&quot;" command="SELECT * FROM [product]"/>
  </connection>
  <connection id="11" xr16:uid="{C043CEBB-8370-4203-A4BB-ED0D86AFBA5C}" keepAlive="1" name="Query - Sample File" description="Connection to the 'Sample File' query in the workbook." type="5" refreshedVersion="0">
    <dbPr connection="Provider=Microsoft.Mashup.OleDb.1;Data Source=$Workbook$;Location=&quot;Sample File&quot;;Extended Properties=&quot;&quot;" command="SELECT * FROM [Sample File]"/>
  </connection>
  <connection id="12" xr16:uid="{25DB1A69-A3FE-4093-B933-F01B3E96E468}" keepAlive="1" name="Query - sub_contractor" description="Connection to the 'sub_contractor' query in the workbook." type="5" refreshedVersion="8" saveData="1">
    <dbPr connection="Provider=Microsoft.Mashup.OleDb.1;Data Source=$Workbook$;Location=sub_contractor;Extended Properties=&quot;&quot;" command="SELECT * FROM [sub_contractor]"/>
  </connection>
  <connection id="13" xr16:uid="{C5990FB8-4CB8-456A-8167-F185FA08BAF3}" keepAlive="1" name="Query - Table19" description="Connection to the 'Table19' query in the workbook." type="5" refreshedVersion="0" saveData="1">
    <dbPr connection="Provider=Microsoft.Mashup.OleDb.1;Data Source=$Workbook$;Location=Table19;Extended Properties=&quot;&quot;" command="SELECT * FROM [Table19]"/>
  </connection>
  <connection id="14" xr16:uid="{90888979-A72D-491D-8193-4A4DC199B751}" keepAlive="1" name="Query - Transform File" description="Connection to the 'Transform File' query in the workbook." type="5" refreshedVersion="0">
    <dbPr connection="Provider=Microsoft.Mashup.OleDb.1;Data Source=$Workbook$;Location=&quot;Transform File&quot;;Extended Properties=&quot;&quot;" command="SELECT * FROM [Transform File]"/>
  </connection>
  <connection id="15" xr16:uid="{B152A7ED-D1E6-4506-BFC9-DFA454173793}" keepAlive="1" name="Query - Transform Sample File" description="Connection to the 'Transform Sample File' query in the workbook." type="5" refreshedVersion="0">
    <dbPr connection="Provider=Microsoft.Mashup.OleDb.1;Data Source=$Workbook$;Location=&quot;Transform Sample File&quot;;Extended Properties=&quot;&quot;" command="SELECT * FROM [Transform Sample File]"/>
  </connection>
  <connection id="16" xr16:uid="{9010976E-8858-47B2-8D6D-C24E58707D76}" keepAlive="1" name="Query - transporter" description="Connection to the 'transporter' query in the workbook." type="5" refreshedVersion="8" saveData="1">
    <dbPr connection="Provider=Microsoft.Mashup.OleDb.1;Data Source=$Workbook$;Location=transporter;Extended Properties=&quot;&quot;" command="SELECT * FROM [transporter]"/>
  </connection>
  <connection id="17" xr16:uid="{B53CAA6F-B4D3-4C5F-98E2-1A96D14EA849}" keepAlive="1" name="Query - Unique Transporters" description="Connection to the 'Unique Transporters' query in the workbook." type="5" refreshedVersion="0" saveData="1">
    <dbPr connection="Provider=Microsoft.Mashup.OleDb.1;Data Source=$Workbook$;Location=&quot;Unique Transporters&quot;;Extended Properties=&quot;&quot;" command="SELECT * FROM [Unique Transporters]"/>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<sst xmlns="http://schemas.openxmlformats.org/spreadsheetml/2006/main" count="756" uniqueCount="607">
  <si>
    <t>PO #</t>
  </si>
  <si>
    <t>FXI #</t>
  </si>
  <si>
    <t>Load #</t>
  </si>
  <si>
    <t>Loading Point</t>
  </si>
  <si>
    <t>Offloading Point</t>
  </si>
  <si>
    <t>Supplier Invoice #</t>
  </si>
  <si>
    <t>No. of Items</t>
  </si>
  <si>
    <t>BV Code &amp; Partial #</t>
  </si>
  <si>
    <t>Truck REG #</t>
  </si>
  <si>
    <t>Trailer 1 REG #</t>
  </si>
  <si>
    <t>Trailer 2 REG #</t>
  </si>
  <si>
    <t>Manifest #</t>
  </si>
  <si>
    <t>Driver Name</t>
  </si>
  <si>
    <t>ID / Passport No.</t>
  </si>
  <si>
    <t>Nationality</t>
  </si>
  <si>
    <t>Border of Entry</t>
  </si>
  <si>
    <t>Transporter</t>
  </si>
  <si>
    <t>Sub - Contractor</t>
  </si>
  <si>
    <t>Pre-Alert Send Date</t>
  </si>
  <si>
    <t>COD / COC Send Date</t>
  </si>
  <si>
    <t>Date: Arrived Site</t>
  </si>
  <si>
    <t>Date: Offloaded</t>
  </si>
  <si>
    <t>Date: POD's Received</t>
  </si>
  <si>
    <t>Total</t>
  </si>
  <si>
    <t>Contract Number:</t>
  </si>
  <si>
    <t>Order Quantity:</t>
  </si>
  <si>
    <t>Product:</t>
  </si>
  <si>
    <t>Clearing Agent:</t>
  </si>
  <si>
    <t>Mine:</t>
  </si>
  <si>
    <t xml:space="preserve">Customer: </t>
  </si>
  <si>
    <t>Quantity Delivered:</t>
  </si>
  <si>
    <t>Quantity En Route:</t>
  </si>
  <si>
    <t>Quantity Planned for Loading:</t>
  </si>
  <si>
    <t>Total Quantity Outstanding:</t>
  </si>
  <si>
    <t>Date: Loaded</t>
  </si>
  <si>
    <t>Date: Dispatched</t>
  </si>
  <si>
    <t>Groblersbrug</t>
  </si>
  <si>
    <t>Beitbridge</t>
  </si>
  <si>
    <t>Lubumbashi</t>
  </si>
  <si>
    <t>Luisha</t>
  </si>
  <si>
    <t>Likasi</t>
  </si>
  <si>
    <t>Tenke</t>
  </si>
  <si>
    <t>Kolwezi</t>
  </si>
  <si>
    <t>Offloaded</t>
  </si>
  <si>
    <t>BOE Received</t>
  </si>
  <si>
    <t>VOC Requested</t>
  </si>
  <si>
    <t>Draft Approved</t>
  </si>
  <si>
    <t>Final Received</t>
  </si>
  <si>
    <t>Final Sent</t>
  </si>
  <si>
    <t>Customer:</t>
  </si>
  <si>
    <t>Stock Code</t>
  </si>
  <si>
    <t>Quantity Planned:</t>
  </si>
  <si>
    <t>Quantity Outstanding:</t>
  </si>
  <si>
    <t>Date: Zambia Arr</t>
  </si>
  <si>
    <t>Date: Zambia Dep</t>
  </si>
  <si>
    <t>Date: DRC Arr</t>
  </si>
  <si>
    <t>Date: DRC Dep</t>
  </si>
  <si>
    <t>Date: Whisky Arr</t>
  </si>
  <si>
    <t>Date: Whisky Dep</t>
  </si>
  <si>
    <t>COD / COC Status</t>
  </si>
  <si>
    <t>Tonnage Dispatched</t>
  </si>
  <si>
    <t>Mutanda</t>
  </si>
  <si>
    <t>Application Sent</t>
  </si>
  <si>
    <t>Drivers Licence No.</t>
  </si>
  <si>
    <t>BV Status</t>
  </si>
  <si>
    <t>Insp Booked</t>
  </si>
  <si>
    <t>IR Under Query</t>
  </si>
  <si>
    <t>IR Received</t>
  </si>
  <si>
    <t>Final Docs Submitted</t>
  </si>
  <si>
    <t>Conform Cert Issued</t>
  </si>
  <si>
    <t>VOC Received</t>
  </si>
  <si>
    <t>Insp Requested</t>
  </si>
  <si>
    <t>BOE Requested</t>
  </si>
  <si>
    <t>Tonnage Offloaded</t>
  </si>
  <si>
    <t>Border of Exit</t>
  </si>
  <si>
    <t>In Transit</t>
  </si>
  <si>
    <t>Truck Status</t>
  </si>
  <si>
    <t>Current Location</t>
  </si>
  <si>
    <t>Chililabombwe</t>
  </si>
  <si>
    <t>Chingola</t>
  </si>
  <si>
    <t>Durban</t>
  </si>
  <si>
    <t>Johannesburg</t>
  </si>
  <si>
    <t>Kabwe</t>
  </si>
  <si>
    <t>Kapiri Mposhi</t>
  </si>
  <si>
    <t>Kitwe</t>
  </si>
  <si>
    <t>Krugersdorp</t>
  </si>
  <si>
    <t>Ndola</t>
  </si>
  <si>
    <t>Pietermaritzburg</t>
  </si>
  <si>
    <t>Richards Bay</t>
  </si>
  <si>
    <t>Rustenburg</t>
  </si>
  <si>
    <t>Secunda</t>
  </si>
  <si>
    <t>Springs</t>
  </si>
  <si>
    <t>Standerton</t>
  </si>
  <si>
    <t>Umbogintwini</t>
  </si>
  <si>
    <t>Walvis Bay</t>
  </si>
  <si>
    <t>Kambove</t>
  </si>
  <si>
    <t>Kisanfu</t>
  </si>
  <si>
    <t>Lualaba</t>
  </si>
  <si>
    <t>Lukuni</t>
  </si>
  <si>
    <t>Pumpi</t>
  </si>
  <si>
    <t>Chirundu</t>
  </si>
  <si>
    <t>Kasumbalesa</t>
  </si>
  <si>
    <t>Kazungula</t>
  </si>
  <si>
    <t>Kopfontein</t>
  </si>
  <si>
    <t>Mokambo</t>
  </si>
  <si>
    <t>Nakop</t>
  </si>
  <si>
    <t>Skilpadshek</t>
  </si>
  <si>
    <t>Sakania</t>
  </si>
  <si>
    <t>Access Logistic</t>
  </si>
  <si>
    <t>Access World</t>
  </si>
  <si>
    <t>Afbuy</t>
  </si>
  <si>
    <t>AK Transport</t>
  </si>
  <si>
    <t>Anderson</t>
  </si>
  <si>
    <t>Atlas</t>
  </si>
  <si>
    <t>Azeta</t>
  </si>
  <si>
    <t>Bitwell</t>
  </si>
  <si>
    <t>Blaauws</t>
  </si>
  <si>
    <t>Blue Gorilla</t>
  </si>
  <si>
    <t>C Time Transport</t>
  </si>
  <si>
    <t>CC Logistics</t>
  </si>
  <si>
    <t>Client</t>
  </si>
  <si>
    <t>Coleman</t>
  </si>
  <si>
    <t>Concargo</t>
  </si>
  <si>
    <t>Concrete Structure</t>
  </si>
  <si>
    <t>Dhaqane</t>
  </si>
  <si>
    <t>DHL</t>
  </si>
  <si>
    <t>E Awadh</t>
  </si>
  <si>
    <t>EPS Trucking</t>
  </si>
  <si>
    <t>Freight Excellence</t>
  </si>
  <si>
    <t>Freight World</t>
  </si>
  <si>
    <t>Galco</t>
  </si>
  <si>
    <t>Gomes</t>
  </si>
  <si>
    <t>Hardcore Logistics</t>
  </si>
  <si>
    <t>Hauloads</t>
  </si>
  <si>
    <t>Icheetah Logtech Zambia Ltd</t>
  </si>
  <si>
    <t>Impala</t>
  </si>
  <si>
    <t>Imperial</t>
  </si>
  <si>
    <t>Imperial Road Haulage</t>
  </si>
  <si>
    <t>Inara</t>
  </si>
  <si>
    <t>JJ Africa</t>
  </si>
  <si>
    <t>JP Freight</t>
  </si>
  <si>
    <t>Kansanshi Mining</t>
  </si>
  <si>
    <t>Kilwe</t>
  </si>
  <si>
    <t>KSSG Distributors</t>
  </si>
  <si>
    <t>Lisukile</t>
  </si>
  <si>
    <t>Merzario</t>
  </si>
  <si>
    <t>MSA Freight</t>
  </si>
  <si>
    <t>Net Logistics</t>
  </si>
  <si>
    <t>Overland</t>
  </si>
  <si>
    <t>R.K Chudasama</t>
  </si>
  <si>
    <t>Raina</t>
  </si>
  <si>
    <t>RDM</t>
  </si>
  <si>
    <t>Red Cherry Clothing</t>
  </si>
  <si>
    <t>Reload</t>
  </si>
  <si>
    <t>RGPM</t>
  </si>
  <si>
    <t>Royal Clearing Company</t>
  </si>
  <si>
    <t>RS Freight</t>
  </si>
  <si>
    <t>Sabot</t>
  </si>
  <si>
    <t>Sarazi Logistics</t>
  </si>
  <si>
    <t>Sayijikalento Logistics</t>
  </si>
  <si>
    <t>SGC</t>
  </si>
  <si>
    <t>SKAR Freight</t>
  </si>
  <si>
    <t>SLS</t>
  </si>
  <si>
    <t>Spring Green Trading</t>
  </si>
  <si>
    <t>Strauss</t>
  </si>
  <si>
    <t>Supplier</t>
  </si>
  <si>
    <t>T H Holding</t>
  </si>
  <si>
    <t>TAC</t>
  </si>
  <si>
    <t>Tahmeed Coach</t>
  </si>
  <si>
    <t>Tengwa</t>
  </si>
  <si>
    <t>Transcargo</t>
  </si>
  <si>
    <t>Transsa</t>
  </si>
  <si>
    <t>Tribal Logistics</t>
  </si>
  <si>
    <t>Unitrans</t>
  </si>
  <si>
    <t>Usethubeni Transport</t>
  </si>
  <si>
    <t>WBCT</t>
  </si>
  <si>
    <t>Wesbank</t>
  </si>
  <si>
    <t>West to East</t>
  </si>
  <si>
    <t>Woker Freight Services</t>
  </si>
  <si>
    <t>Zamland</t>
  </si>
  <si>
    <t>Zim Sellink</t>
  </si>
  <si>
    <t>Zimbulk</t>
  </si>
  <si>
    <t>Abnormal Freight Solutions</t>
  </si>
  <si>
    <t>Afnet</t>
  </si>
  <si>
    <t>AFS</t>
  </si>
  <si>
    <t>Alharthy</t>
  </si>
  <si>
    <t>Alliance Stream</t>
  </si>
  <si>
    <t>Alpha Link</t>
  </si>
  <si>
    <t>Alro</t>
  </si>
  <si>
    <t>Amaans</t>
  </si>
  <si>
    <t>Aminnph</t>
  </si>
  <si>
    <t>Aspmrb Transport</t>
  </si>
  <si>
    <t>Caliber Hauliers</t>
  </si>
  <si>
    <t>Carribean</t>
  </si>
  <si>
    <t>Chidoboli</t>
  </si>
  <si>
    <t>City Frontiers</t>
  </si>
  <si>
    <t>Cochrane</t>
  </si>
  <si>
    <t>Cross Country</t>
  </si>
  <si>
    <t>Crossland</t>
  </si>
  <si>
    <t>Dama Ventures</t>
  </si>
  <si>
    <t>Dell</t>
  </si>
  <si>
    <t>ETN</t>
  </si>
  <si>
    <t>Euphrates</t>
  </si>
  <si>
    <t>Express Tracking</t>
  </si>
  <si>
    <t>Flying Cargo</t>
  </si>
  <si>
    <t>Glengarry</t>
  </si>
  <si>
    <t>Greatlakes</t>
  </si>
  <si>
    <t>Greendoor</t>
  </si>
  <si>
    <t>Ileys Logistics</t>
  </si>
  <si>
    <t>J&amp;J</t>
  </si>
  <si>
    <t>Joshua</t>
  </si>
  <si>
    <t>Kago Africa</t>
  </si>
  <si>
    <t>Kebiyukwa Investments Zambia Limited</t>
  </si>
  <si>
    <t>Keysim Logistics</t>
  </si>
  <si>
    <t>Kwik</t>
  </si>
  <si>
    <t>Leopack</t>
  </si>
  <si>
    <t>LTS</t>
  </si>
  <si>
    <t>Mainline Carriers</t>
  </si>
  <si>
    <t>Malmoza</t>
  </si>
  <si>
    <t>Mariam Hauliers</t>
  </si>
  <si>
    <t>Masiya</t>
  </si>
  <si>
    <t>Matvin Transport</t>
  </si>
  <si>
    <t>MBS Carriers</t>
  </si>
  <si>
    <t>Mining Haulage</t>
  </si>
  <si>
    <t>Muzuri Sana</t>
  </si>
  <si>
    <t>Nicks Motors</t>
  </si>
  <si>
    <t>North Star</t>
  </si>
  <si>
    <t>Notios Transport</t>
  </si>
  <si>
    <t>NRL</t>
  </si>
  <si>
    <t>Nyathi</t>
  </si>
  <si>
    <t>Ocean Star Energy</t>
  </si>
  <si>
    <t>Octane</t>
  </si>
  <si>
    <t>Onkar</t>
  </si>
  <si>
    <t>Quattro</t>
  </si>
  <si>
    <t>RB &amp; Son</t>
  </si>
  <si>
    <t>Sarazi</t>
  </si>
  <si>
    <t>Smartstart</t>
  </si>
  <si>
    <t>Spring Green</t>
  </si>
  <si>
    <t>Success Freight</t>
  </si>
  <si>
    <t>Suleman</t>
  </si>
  <si>
    <t>Suncrest</t>
  </si>
  <si>
    <t>Tami Express</t>
  </si>
  <si>
    <t>Terriers</t>
  </si>
  <si>
    <t>TH</t>
  </si>
  <si>
    <t>Top Team</t>
  </si>
  <si>
    <t>Trafalgar</t>
  </si>
  <si>
    <t>Transaction Carriers</t>
  </si>
  <si>
    <t>Transconnect</t>
  </si>
  <si>
    <t>Transmodal</t>
  </si>
  <si>
    <t>Upfront</t>
  </si>
  <si>
    <t>Usangu</t>
  </si>
  <si>
    <t>Vikram Logistics</t>
  </si>
  <si>
    <t>Whelson</t>
  </si>
  <si>
    <t>Xinergistix</t>
  </si>
  <si>
    <t>Zambulk</t>
  </si>
  <si>
    <t>Zamm Imports</t>
  </si>
  <si>
    <t>ZamZam</t>
  </si>
  <si>
    <t>Zero Degrees</t>
  </si>
  <si>
    <t>Zimbulk Zimbabwe</t>
  </si>
  <si>
    <t>Zmart</t>
  </si>
  <si>
    <t>South African</t>
  </si>
  <si>
    <t>Zimbabwean</t>
  </si>
  <si>
    <t>Zambian</t>
  </si>
  <si>
    <t>Tanzanian</t>
  </si>
  <si>
    <t>Namibian</t>
  </si>
  <si>
    <t>Mozambican</t>
  </si>
  <si>
    <t>Malawian</t>
  </si>
  <si>
    <t>Customer</t>
  </si>
  <si>
    <t>ABG</t>
  </si>
  <si>
    <t>African Power Coal Ltd</t>
  </si>
  <si>
    <t>Ausheng International Trading</t>
  </si>
  <si>
    <t>Axis House</t>
  </si>
  <si>
    <t>Beijing Sun</t>
  </si>
  <si>
    <t>Brother Mining</t>
  </si>
  <si>
    <t>Bushveld Vanchem</t>
  </si>
  <si>
    <t>CDM</t>
  </si>
  <si>
    <t>Chambishi Copper Smelter</t>
  </si>
  <si>
    <t>Confiance</t>
  </si>
  <si>
    <t>Divine Land Mining</t>
  </si>
  <si>
    <t>Eco Energy</t>
  </si>
  <si>
    <t>Fert, Seed &amp; Grain</t>
  </si>
  <si>
    <t>Gold Vale</t>
  </si>
  <si>
    <t>Halliburton</t>
  </si>
  <si>
    <t>Horizon</t>
  </si>
  <si>
    <t>Impenduloyezwe Projects</t>
  </si>
  <si>
    <t>IPC</t>
  </si>
  <si>
    <t>Kalahari Eng Worx Ltd</t>
  </si>
  <si>
    <t>Kamoto Copper Company</t>
  </si>
  <si>
    <t>Kansanshi</t>
  </si>
  <si>
    <t>Lualaba Copper Smelters</t>
  </si>
  <si>
    <t>Mikas</t>
  </si>
  <si>
    <t>Musonoi</t>
  </si>
  <si>
    <t>Nafasi Water Namibia</t>
  </si>
  <si>
    <t>Nanoretech</t>
  </si>
  <si>
    <t>Norin Mining</t>
  </si>
  <si>
    <t>Norpack Industrial Co. Ltd.</t>
  </si>
  <si>
    <t>Orient</t>
  </si>
  <si>
    <t>Platynum</t>
  </si>
  <si>
    <t>Pure Trade Chemical</t>
  </si>
  <si>
    <t>Right Equipped</t>
  </si>
  <si>
    <t>Rossing Uranium</t>
  </si>
  <si>
    <t>Sable Zinc</t>
  </si>
  <si>
    <t>SLB</t>
  </si>
  <si>
    <t>SOMIKA SAS</t>
  </si>
  <si>
    <t>Swakop Uranium</t>
  </si>
  <si>
    <t>TCC</t>
  </si>
  <si>
    <t>TFM</t>
  </si>
  <si>
    <t>The Energy Company</t>
  </si>
  <si>
    <t>The Periodic Table Limited</t>
  </si>
  <si>
    <t>Thomas Mining</t>
  </si>
  <si>
    <t>Vastech</t>
  </si>
  <si>
    <t>Yellow River Corp Ltd</t>
  </si>
  <si>
    <t>Product</t>
  </si>
  <si>
    <t>Acetone</t>
  </si>
  <si>
    <t>Bag Liners</t>
  </si>
  <si>
    <t>Barite SG</t>
  </si>
  <si>
    <t>Barium Sulphate</t>
  </si>
  <si>
    <t>Biocide</t>
  </si>
  <si>
    <t>Boric Acid</t>
  </si>
  <si>
    <t>Calcium Carbonate</t>
  </si>
  <si>
    <t>Calcium Chloride</t>
  </si>
  <si>
    <t>Calcium Formate</t>
  </si>
  <si>
    <t>Carburizer</t>
  </si>
  <si>
    <t>Caustic Lye</t>
  </si>
  <si>
    <t>Caustic Soda Flakes</t>
  </si>
  <si>
    <t>Cobalt Sulphate</t>
  </si>
  <si>
    <t>Diatomite</t>
  </si>
  <si>
    <t>DOTP</t>
  </si>
  <si>
    <t>Dust Inhibitor</t>
  </si>
  <si>
    <t>Electrode Paste</t>
  </si>
  <si>
    <t>Ferrous Sulphate Heptahydrate</t>
  </si>
  <si>
    <t>Ferrous Sulphate Monohydrate</t>
  </si>
  <si>
    <t>FeSO (Granular)</t>
  </si>
  <si>
    <t>Fibre Mats</t>
  </si>
  <si>
    <t>Grout</t>
  </si>
  <si>
    <t>Guar Gum</t>
  </si>
  <si>
    <t>Hammer Sub</t>
  </si>
  <si>
    <t>Hematite</t>
  </si>
  <si>
    <t>HPMC</t>
  </si>
  <si>
    <t>Hydrogen Peroxide</t>
  </si>
  <si>
    <t>MgO</t>
  </si>
  <si>
    <t>MgO (DeltaMag)</t>
  </si>
  <si>
    <t>Mining Solvent (Escaid 100) IBC's</t>
  </si>
  <si>
    <t>Mining Solvent (Escaid 110) IBC's</t>
  </si>
  <si>
    <t>Mining Solvent (Various)</t>
  </si>
  <si>
    <t>NaHS</t>
  </si>
  <si>
    <t>Phosphoric Acid</t>
  </si>
  <si>
    <t>Potassium Silicate</t>
  </si>
  <si>
    <t>Quick Lime</t>
  </si>
  <si>
    <t>RDP</t>
  </si>
  <si>
    <t>Resin</t>
  </si>
  <si>
    <t>SIBX</t>
  </si>
  <si>
    <t>Silica Sand</t>
  </si>
  <si>
    <t>SMBS</t>
  </si>
  <si>
    <t>Soda Ash Dense</t>
  </si>
  <si>
    <t>Steel</t>
  </si>
  <si>
    <t>Steel Coil Strapping</t>
  </si>
  <si>
    <t>Steel Plates</t>
  </si>
  <si>
    <t>Steel Strapping</t>
  </si>
  <si>
    <t>Sulphur</t>
  </si>
  <si>
    <t>Sulphuric Acid</t>
  </si>
  <si>
    <t>Toluene</t>
  </si>
  <si>
    <t>Tonsil Clay</t>
  </si>
  <si>
    <t>Top Saver Sub</t>
  </si>
  <si>
    <t>Various</t>
  </si>
  <si>
    <t>Various Alloys</t>
  </si>
  <si>
    <t>Various Lubricants</t>
  </si>
  <si>
    <t>Various Steel</t>
  </si>
  <si>
    <t>Xantham Gum</t>
  </si>
  <si>
    <t>Clearing Agent</t>
  </si>
  <si>
    <t>Afritac</t>
  </si>
  <si>
    <t>AGL</t>
  </si>
  <si>
    <t>Bollore</t>
  </si>
  <si>
    <t>Cargo Congo</t>
  </si>
  <si>
    <t>Ciltax Clearing</t>
  </si>
  <si>
    <t>CISA</t>
  </si>
  <si>
    <t>CML</t>
  </si>
  <si>
    <t>ConnexAfrica</t>
  </si>
  <si>
    <t>Copperline</t>
  </si>
  <si>
    <t>Douane Express</t>
  </si>
  <si>
    <t>Fit Logistics</t>
  </si>
  <si>
    <t>Gecotrans</t>
  </si>
  <si>
    <t>General Services</t>
  </si>
  <si>
    <t>Go Borders</t>
  </si>
  <si>
    <t>GoReefers</t>
  </si>
  <si>
    <t>Malabar</t>
  </si>
  <si>
    <t>Polytra</t>
  </si>
  <si>
    <t>Speedlink</t>
  </si>
  <si>
    <t>Svett Mining</t>
  </si>
  <si>
    <t>Trade Services</t>
  </si>
  <si>
    <t>Transworld Cargo</t>
  </si>
  <si>
    <t>Mine</t>
  </si>
  <si>
    <t>CDM - Lukuni Mine</t>
  </si>
  <si>
    <t>CML Zambia</t>
  </si>
  <si>
    <t>Comika</t>
  </si>
  <si>
    <t>Commus</t>
  </si>
  <si>
    <t>Etoile du Sud SAS</t>
  </si>
  <si>
    <t>Excellen Minerals</t>
  </si>
  <si>
    <t>Husab Mine</t>
  </si>
  <si>
    <t>Kambove Mine</t>
  </si>
  <si>
    <t>Kelvin Power Station</t>
  </si>
  <si>
    <t>Metal Mines</t>
  </si>
  <si>
    <t>Mineral Metal Technology</t>
  </si>
  <si>
    <t>MKM</t>
  </si>
  <si>
    <t>Mopani Mine</t>
  </si>
  <si>
    <t>N/A</t>
  </si>
  <si>
    <t>Old Bwana Mkubwa Site</t>
  </si>
  <si>
    <t>ZCCZ</t>
  </si>
  <si>
    <t>Booked to Load</t>
  </si>
  <si>
    <t>Loaded</t>
  </si>
  <si>
    <t>Awaiting to Offload</t>
  </si>
  <si>
    <t>Offloaded1</t>
  </si>
  <si>
    <t>Breakdown</t>
  </si>
  <si>
    <t>Accident</t>
  </si>
  <si>
    <t>Column1</t>
  </si>
  <si>
    <t>Status</t>
  </si>
  <si>
    <t>COD/COC Status</t>
  </si>
  <si>
    <t>Whisky</t>
  </si>
  <si>
    <t>Mumi Parking Area</t>
  </si>
  <si>
    <t>Route</t>
  </si>
  <si>
    <t>Lusaka</t>
  </si>
  <si>
    <t>Index</t>
  </si>
  <si>
    <t>Carrilu</t>
  </si>
  <si>
    <t>Chengtun Congo Resources</t>
  </si>
  <si>
    <t>Chilmund Chemicals</t>
  </si>
  <si>
    <t>China Copper Mines</t>
  </si>
  <si>
    <t>COMILU</t>
  </si>
  <si>
    <t>Congo Jin Ju Cheng Mining Co</t>
  </si>
  <si>
    <t>Dan Bunkering</t>
  </si>
  <si>
    <t>Deziwa</t>
  </si>
  <si>
    <t>FQM Trident Limited</t>
  </si>
  <si>
    <t>FSG</t>
  </si>
  <si>
    <t>Han Rui Metals</t>
  </si>
  <si>
    <t>Jin Xun Congo Mining</t>
  </si>
  <si>
    <t>Kalongwe Mining</t>
  </si>
  <si>
    <t>Kastta Grand Link Zambia</t>
  </si>
  <si>
    <t>KCM</t>
  </si>
  <si>
    <t>KFM</t>
  </si>
  <si>
    <t xml:space="preserve">Kisenda </t>
  </si>
  <si>
    <t>KPM</t>
  </si>
  <si>
    <t>Macrolink Jiayuan Mining</t>
  </si>
  <si>
    <t>Mantra Tanzania</t>
  </si>
  <si>
    <t>Metalkol</t>
  </si>
  <si>
    <t>Mkubwa Mine</t>
  </si>
  <si>
    <t>Musonoi Project Site</t>
  </si>
  <si>
    <t>Mutanda Mining</t>
  </si>
  <si>
    <t>RioZim</t>
  </si>
  <si>
    <t>Ruashi Mining</t>
  </si>
  <si>
    <t>Shituru Mining</t>
  </si>
  <si>
    <t>Sicomines</t>
  </si>
  <si>
    <t>Soyo Kwanda Base</t>
  </si>
  <si>
    <t>Transversal SAS</t>
  </si>
  <si>
    <t>Zhanfei Mining</t>
  </si>
  <si>
    <t>Zimphos</t>
  </si>
  <si>
    <t>Baobab</t>
  </si>
  <si>
    <t>Coredis</t>
  </si>
  <si>
    <t>Douanaco</t>
  </si>
  <si>
    <t>Hill &amp; Delamain</t>
  </si>
  <si>
    <t>Joma Logistics</t>
  </si>
  <si>
    <t>Kudumu Logistics</t>
  </si>
  <si>
    <t>McJuro Investments</t>
  </si>
  <si>
    <t>Suro Transport &amp; Logistics</t>
  </si>
  <si>
    <t>Timeline African Logistics</t>
  </si>
  <si>
    <t>Aluminium Chlorohydrate</t>
  </si>
  <si>
    <t>Aluminium Sulphate</t>
  </si>
  <si>
    <t>Antiscalant</t>
  </si>
  <si>
    <t>Coal Fines</t>
  </si>
  <si>
    <t>Corrugated Pipes</t>
  </si>
  <si>
    <t>Diatomite (Kensil 90)</t>
  </si>
  <si>
    <t>Ferrosilicon</t>
  </si>
  <si>
    <t>Foam Concentrate</t>
  </si>
  <si>
    <t>Magnesium Chloride</t>
  </si>
  <si>
    <t>MgO (KappaMag)</t>
  </si>
  <si>
    <t>Mining Solvent (Escaid 100) Bulk</t>
  </si>
  <si>
    <t>Mining Solvent (Escaid 110) Bulk</t>
  </si>
  <si>
    <t>Mining Solvent (Escaid 120) Bulk</t>
  </si>
  <si>
    <t>Mining Solvent (SSX210) Bulk</t>
  </si>
  <si>
    <t>Mobilgear SHC22M</t>
  </si>
  <si>
    <t>Molybdenum Disulphide</t>
  </si>
  <si>
    <t>Non-Ionic Polyacrylamide</t>
  </si>
  <si>
    <t>Oven Fans</t>
  </si>
  <si>
    <t>PAC</t>
  </si>
  <si>
    <t>Sandwich Panels</t>
  </si>
  <si>
    <t>Sodium Chloride</t>
  </si>
  <si>
    <t>Sodium Fluoride</t>
  </si>
  <si>
    <t>Sodium Hypochlorite</t>
  </si>
  <si>
    <t>Trisodium Phosphate</t>
  </si>
  <si>
    <t>Ultrafloc</t>
  </si>
  <si>
    <t>Various Products</t>
  </si>
  <si>
    <t>Africhem Chemicals</t>
  </si>
  <si>
    <t>Baker Hughes</t>
  </si>
  <si>
    <t>Brauteseth Blasting</t>
  </si>
  <si>
    <t>BrilliantLegend</t>
  </si>
  <si>
    <t>Capco</t>
  </si>
  <si>
    <t>CMOC Kisanfu Mining</t>
  </si>
  <si>
    <t>CMOC Ltd</t>
  </si>
  <si>
    <t>CN Sage</t>
  </si>
  <si>
    <t>CNMC</t>
  </si>
  <si>
    <t>Congo Dongfang Mining</t>
  </si>
  <si>
    <t>Cuper Components</t>
  </si>
  <si>
    <t>Edenvale</t>
  </si>
  <si>
    <t>I AM Chemicals</t>
  </si>
  <si>
    <t>La Compagnie Miniere de Kambove SAS</t>
  </si>
  <si>
    <t>MEGAWAY IND. LTD</t>
  </si>
  <si>
    <t>Mujora Investments</t>
  </si>
  <si>
    <t>Octahedron Investments</t>
  </si>
  <si>
    <t>OK Africa Group</t>
  </si>
  <si>
    <t>OK Supply Chain</t>
  </si>
  <si>
    <t>RichChem</t>
  </si>
  <si>
    <t>Shanghai Donghe</t>
  </si>
  <si>
    <t>Zijin Mining</t>
  </si>
  <si>
    <t>Summary</t>
  </si>
  <si>
    <t>Quantity</t>
  </si>
  <si>
    <t>Trucks</t>
  </si>
  <si>
    <t>Tonnage</t>
  </si>
  <si>
    <t>Mailing List</t>
  </si>
  <si>
    <t>Internal Mailing List (CC)</t>
  </si>
  <si>
    <t>Subject Details (Autofill)</t>
  </si>
  <si>
    <t>Pure Trade Africa</t>
  </si>
  <si>
    <t>Tracking Report</t>
  </si>
  <si>
    <t>Days at Zambia Border</t>
  </si>
  <si>
    <t>Days at DRC Border</t>
  </si>
  <si>
    <t>Days at Whisky</t>
  </si>
  <si>
    <t>Border Clearing Delay</t>
  </si>
  <si>
    <t>Whisky Clearing Delay</t>
  </si>
  <si>
    <t>Location</t>
  </si>
  <si>
    <t>Draft To Be Amended</t>
  </si>
  <si>
    <t>IR Status</t>
  </si>
  <si>
    <t>POD Status</t>
  </si>
  <si>
    <t>Requested</t>
  </si>
  <si>
    <t>Received</t>
  </si>
  <si>
    <t>Client Invoice #</t>
  </si>
  <si>
    <t>Variance</t>
  </si>
  <si>
    <t>GIT Certificate Send Date</t>
  </si>
  <si>
    <t>GIT Certificate #</t>
  </si>
  <si>
    <t>Trip Code</t>
  </si>
  <si>
    <t>Neelkanth Invoice #</t>
  </si>
  <si>
    <t>Handyman Invoice #</t>
  </si>
  <si>
    <t>Litres Dispatched</t>
  </si>
  <si>
    <t>Litres Offloaded</t>
  </si>
  <si>
    <t>Volume</t>
  </si>
  <si>
    <t>Date: Namibia Arr</t>
  </si>
  <si>
    <t>Date: Namibia Dep</t>
  </si>
  <si>
    <t>Quantity Dispatched (KG)</t>
  </si>
  <si>
    <t>Date: Tanzania Arr</t>
  </si>
  <si>
    <t>Loading Warehouse</t>
  </si>
  <si>
    <t>Date: Tanzania Dep</t>
  </si>
  <si>
    <t>Country of Origin</t>
  </si>
  <si>
    <t>Date: Angola Arr</t>
  </si>
  <si>
    <t>Date: Angola Dep</t>
  </si>
  <si>
    <t>Date: Cargo Congo Arr</t>
  </si>
  <si>
    <t>Certificate of Destination / Continuation</t>
  </si>
  <si>
    <t>Date: Cargo Congo Dep</t>
  </si>
  <si>
    <t>Date: SA Arr</t>
  </si>
  <si>
    <t>Date: Zimbabwe Dep</t>
  </si>
  <si>
    <t>Date: BOE &amp; SADC Received</t>
  </si>
  <si>
    <t>Date: SADC Released</t>
  </si>
  <si>
    <t>Date: Notification Released</t>
  </si>
  <si>
    <t>Header Options</t>
  </si>
  <si>
    <t>Days at Site</t>
  </si>
  <si>
    <t>Ramatlabama</t>
  </si>
  <si>
    <t>Gaborone</t>
  </si>
  <si>
    <t>Harare</t>
  </si>
  <si>
    <t>Kasumbalesa - Zambia</t>
  </si>
  <si>
    <t>Sakania - Zambia</t>
  </si>
  <si>
    <t>Mokambo - Zambia</t>
  </si>
  <si>
    <t>Kasumbalesa - DRC</t>
  </si>
  <si>
    <t>Sakania - DRC</t>
  </si>
  <si>
    <t>Mokambo - DRC</t>
  </si>
  <si>
    <t>Fencing</t>
  </si>
  <si>
    <t>Bikita Mine</t>
  </si>
  <si>
    <t>Thiourea</t>
  </si>
  <si>
    <t>Service Order #</t>
  </si>
  <si>
    <t>Gross Tonnage Dispatched</t>
  </si>
  <si>
    <t>Load Master</t>
  </si>
  <si>
    <t>Prelim Notification Received</t>
  </si>
  <si>
    <t>Hoses</t>
  </si>
  <si>
    <t>Rate</t>
  </si>
  <si>
    <t>Free Days - Border</t>
  </si>
  <si>
    <t>Free Days - Offload</t>
  </si>
  <si>
    <t>Active</t>
  </si>
  <si>
    <t>Demurrage Days - Border</t>
  </si>
  <si>
    <t>Demurrage Days - Offload</t>
  </si>
  <si>
    <t>Demurrage</t>
  </si>
  <si>
    <t>Grand Total</t>
  </si>
  <si>
    <t>Sum of Demurrage</t>
  </si>
  <si>
    <t>(blank)</t>
  </si>
  <si>
    <t>Choma</t>
  </si>
  <si>
    <t>Mazabuka</t>
  </si>
  <si>
    <t>Livingstone</t>
  </si>
  <si>
    <t>Litak Cargo Movers</t>
  </si>
  <si>
    <t>Pakmans Import &amp; Export</t>
  </si>
  <si>
    <t>Bestfence</t>
  </si>
  <si>
    <t>Envex (Pty) Ltd</t>
  </si>
  <si>
    <t>Mimbula Minerals</t>
  </si>
  <si>
    <t>Pure Trade Mining Consumables Zambia</t>
  </si>
  <si>
    <t>Lamikal</t>
  </si>
  <si>
    <t>NFC Africa Mining PLC</t>
  </si>
  <si>
    <t>Rong Xing Investments</t>
  </si>
  <si>
    <t>Ammonium Hydrogen Diflouride</t>
  </si>
  <si>
    <t>Masterflow 525</t>
  </si>
  <si>
    <t>Sodium Silicate</t>
  </si>
  <si>
    <t>Steel Channels</t>
  </si>
  <si>
    <t>Steel Rails</t>
  </si>
  <si>
    <t>FP Du Toit Transport</t>
  </si>
  <si>
    <t>Gass Transport</t>
  </si>
  <si>
    <t>Activated Carbon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</si>
</sst>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0.000"/>
    <numFmt numFmtId="165" formatCode="dd\ mmm\ yy"/>
    <numFmt numFmtId="166" formatCode="0.000"/>
    <numFmt numFmtId="167" formatCode="[$USD]\ #,##0.00"/>
  </numFmts>
  <fonts count="20"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sz val="11"/>
      <color indexed="8"/>
      <name val="Calibri"/>
      <family val="2"/>
    </font>
    <font>
      <b/>
      <sz val="10"/>
      <name val="Arial"/>
      <family val="2"/>
    </font>
    <font>
      <sz val="8"/>
      <name val="Calibri"/>
      <family val="2"/>
      <scheme val="minor"/>
    </font>
    <font>
      <sz val="11"/>
      <name val="Calibri"/>
      <family val="2"/>
      <scheme val="minor"/>
    </font>
    <font>
      <b/>
      <sz val="11"/>
      <color indexed="63"/>
      <name val="Calibri"/>
      <family val="2"/>
    </font>
    <font>
      <sz val="10"/>
      <color theme="0"/>
      <name val="Arial"/>
      <family val="2"/>
    </font>
    <font>
      <sz val="10"/>
      <color theme="1"/>
      <name val="Arial"/>
      <family val="2"/>
    </font>
    <font>
      <sz val="11"/>
      <color rgb="FF000000"/>
      <name val="Calibri"/>
      <family val="2"/>
    </font>
    <font>
      <u/>
      <sz val="11"/>
      <color theme="10"/>
      <name val="Calibri"/>
      <family val="2"/>
      <scheme val="minor"/>
    </font>
    <font>
      <i/>
      <sz val="11"/>
      <color theme="1"/>
      <name val="Calibri"/>
      <family val="2"/>
      <scheme val="minor"/>
    </font>
    <font>
      <sz val="11"/>
      <color rgb="FF000000"/>
      <name val="Calibri"/>
      <family val="2"/>
      <scheme val="minor"/>
    </font>
    <font>
      <b/>
      <sz val="11"/>
      <name val="Calibri"/>
      <family val="2"/>
      <scheme val="minor"/>
    </font>
    <font>
      <sz val="11"/>
      <color rgb="FF9C0006"/>
      <name val="Calibri"/>
      <family val="2"/>
      <scheme val="minor"/>
    </font>
    <font>
      <sz val="11"/>
      <name val="Calibri"/>
      <family val="2"/>
    </font>
    <font>
      <b/>
      <sz val="11"/>
      <color rgb="FF000000"/>
      <name val="Calibri"/>
      <family val="2"/>
    </font>
  </fonts>
  <fills count="8">
    <fill>
      <patternFill patternType="none"/>
    </fill>
    <fill>
      <patternFill patternType="gray125"/>
    </fill>
    <fill>
      <patternFill patternType="solid">
        <fgColor indexed="45"/>
      </patternFill>
    </fill>
    <fill>
      <patternFill patternType="solid">
        <fgColor rgb="FF00B0F0"/>
        <bgColor indexed="64"/>
      </patternFill>
    </fill>
    <fill>
      <patternFill patternType="solid">
        <fgColor indexed="22"/>
      </patternFill>
    </fill>
    <fill>
      <patternFill patternType="solid">
        <fgColor rgb="FFFFFFFF"/>
        <bgColor indexed="64"/>
      </patternFill>
    </fill>
    <fill>
      <patternFill patternType="solid">
        <fgColor rgb="FFFFC7CE"/>
      </patternFill>
    </fill>
    <fill>
      <patternFill patternType="solid">
        <fgColor theme="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3"/>
      </left>
      <right style="thin">
        <color indexed="63"/>
      </right>
      <top style="thin">
        <color indexed="63"/>
      </top>
      <bottom style="thin">
        <color indexed="63"/>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s>
  <cellStyleXfs count="8">
    <xf numFmtId="0" fontId="0" fillId="0" borderId="0"/>
    <xf numFmtId="43" fontId="1" fillId="0" borderId="0" applyFont="0" applyFill="0" applyBorder="0" applyAlignment="0" applyProtection="0"/>
    <xf numFmtId="0" fontId="4" fillId="0" borderId="0"/>
    <xf numFmtId="0" fontId="5" fillId="2" borderId="0" applyNumberFormat="0" applyBorder="0" applyAlignment="0" applyProtection="0"/>
    <xf numFmtId="0" fontId="9" fillId="4" borderId="12" applyNumberFormat="0" applyAlignment="0" applyProtection="0"/>
    <xf numFmtId="0" fontId="13" fillId="0" borderId="0" applyNumberFormat="0" applyFill="0" applyBorder="0" applyAlignment="0" applyProtection="0"/>
    <xf numFmtId="0" fontId="17" fillId="6" borderId="0" applyNumberFormat="0" applyBorder="0" applyAlignment="0" applyProtection="0"/>
    <xf numFmtId="43" fontId="1" fillId="0" borderId="0" applyFont="0" applyFill="0" applyBorder="0" applyAlignment="0" applyProtection="0"/>
  </cellStyleXfs>
  <cellXfs count="60">
    <xf numFmtId="0" fontId="0" fillId="0" borderId="0" xfId="0"/>
    <xf numFmtId="0" fontId="0" fillId="0" borderId="0" xfId="0" applyAlignment="1">
      <alignment horizontal="center"/>
    </xf>
    <xf numFmtId="0" fontId="10" fillId="0" borderId="0" xfId="0" applyFont="1" applyAlignment="1">
      <alignment horizontal="center"/>
    </xf>
    <xf numFmtId="0" fontId="3" fillId="0" borderId="0" xfId="0" applyFont="1" applyAlignment="1">
      <alignment horizontal="center"/>
    </xf>
    <xf numFmtId="43" fontId="0" fillId="0" borderId="0" xfId="0" applyNumberFormat="1" applyAlignment="1">
      <alignment horizontal="center"/>
    </xf>
    <xf numFmtId="4" fontId="4" fillId="0" borderId="10" xfId="1" applyNumberFormat="1" applyFont="1" applyBorder="1" applyProtection="1"/>
    <xf numFmtId="0" fontId="0" fillId="0" borderId="0" xfId="0" applyAlignment="1">
      <alignment vertical="center"/>
    </xf>
    <xf numFmtId="0" fontId="0" fillId="0" borderId="0" xfId="0" applyAlignment="1">
      <alignment horizontal="left"/>
    </xf>
    <xf numFmtId="0" fontId="6" fillId="0" borderId="10" xfId="0" applyFont="1" applyBorder="1" applyAlignment="1">
      <alignment horizontal="right"/>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0" fillId="0" borderId="0" xfId="0" applyProtection="1">
      <protection locked="0"/>
    </xf>
    <xf numFmtId="0" fontId="0" fillId="0" borderId="7" xfId="0" applyBorder="1" applyProtection="1">
      <protection locked="0"/>
    </xf>
    <xf numFmtId="0" fontId="0" fillId="0" borderId="8" xfId="0" applyBorder="1" applyProtection="1">
      <protection locked="0"/>
    </xf>
    <xf numFmtId="0" fontId="0" fillId="0" borderId="9" xfId="0" applyBorder="1" applyProtection="1">
      <protection locked="0"/>
    </xf>
    <xf numFmtId="4" fontId="11" fillId="0" borderId="10" xfId="0" applyNumberFormat="1" applyFont="1" applyBorder="1" applyProtection="1">
      <protection locked="0"/>
    </xf>
    <xf numFmtId="0" fontId="0" fillId="0" borderId="6" xfId="0" applyBorder="1" applyProtection="1">
      <protection locked="0"/>
    </xf>
    <xf numFmtId="0" fontId="0" fillId="0" borderId="5" xfId="0" applyBorder="1" applyProtection="1">
      <protection locked="0"/>
    </xf>
    <xf numFmtId="0" fontId="0" fillId="0" borderId="2" xfId="0" applyBorder="1" applyProtection="1">
      <protection locked="0"/>
    </xf>
    <xf numFmtId="0" fontId="0" fillId="0" borderId="3" xfId="0" applyBorder="1" applyProtection="1">
      <protection locked="0"/>
    </xf>
    <xf numFmtId="0" fontId="0" fillId="0" borderId="4" xfId="0" applyBorder="1" applyProtection="1">
      <protection locked="0"/>
    </xf>
    <xf numFmtId="0" fontId="0" fillId="0" borderId="17" xfId="0" applyBorder="1"/>
    <xf numFmtId="0" fontId="0" fillId="0" borderId="18" xfId="0" applyBorder="1"/>
    <xf numFmtId="4" fontId="0" fillId="0" borderId="0" xfId="0" applyNumberFormat="1"/>
    <xf numFmtId="0" fontId="2" fillId="0" borderId="19" xfId="0" applyFont="1" applyBorder="1" applyAlignment="1">
      <alignment horizontal="center" vertical="center" wrapText="1"/>
    </xf>
    <xf numFmtId="0" fontId="16" fillId="0" borderId="15" xfId="0" applyFont="1" applyBorder="1" applyAlignment="1">
      <alignment horizontal="center" vertical="center" wrapText="1"/>
    </xf>
    <xf numFmtId="0" fontId="2" fillId="0" borderId="22" xfId="0" applyFont="1" applyBorder="1" applyAlignment="1">
      <alignment horizontal="center" vertical="center" wrapText="1"/>
    </xf>
    <xf numFmtId="14" fontId="0" fillId="0" borderId="0" xfId="0" applyNumberFormat="1" applyProtection="1">
      <protection locked="0"/>
    </xf>
    <xf numFmtId="0" fontId="13" fillId="0" borderId="0" xfId="5" applyProtection="1">
      <protection locked="0"/>
    </xf>
    <xf numFmtId="0" fontId="14" fillId="0" borderId="0" xfId="0" applyFont="1"/>
    <xf numFmtId="0" fontId="0" fillId="0" borderId="10" xfId="0" applyBorder="1" applyAlignment="1" applyProtection="1">
      <alignment horizontal="right"/>
      <protection locked="0"/>
    </xf>
    <xf numFmtId="3" fontId="0" fillId="7" borderId="0" xfId="0" applyNumberFormat="1" applyFill="1"/>
    <xf numFmtId="0" fontId="3" fillId="3" borderId="1" xfId="0" applyFont="1" applyFill="1" applyBorder="1" applyAlignment="1" applyProtection="1">
      <alignment horizontal="center"/>
      <protection locked="0"/>
    </xf>
    <xf numFmtId="164" fontId="3" fillId="3" borderId="1" xfId="0" applyNumberFormat="1" applyFont="1" applyFill="1" applyBorder="1" applyAlignment="1" applyProtection="1">
      <alignment horizontal="center"/>
      <protection locked="0"/>
    </xf>
    <xf numFmtId="0" fontId="3" fillId="3" borderId="21" xfId="0" applyFont="1" applyFill="1" applyBorder="1" applyAlignment="1">
      <alignment horizontal="center"/>
    </xf>
    <xf numFmtId="165" fontId="8" fillId="0" borderId="11" xfId="6" applyNumberFormat="1" applyFont="1" applyFill="1" applyBorder="1" applyAlignment="1" applyProtection="1">
      <alignment horizontal="center"/>
      <protection locked="0"/>
    </xf>
    <xf numFmtId="1" fontId="0" fillId="0" borderId="11" xfId="0" applyNumberFormat="1" applyBorder="1" applyAlignment="1" applyProtection="1">
      <alignment horizontal="center"/>
      <protection locked="0"/>
    </xf>
    <xf numFmtId="1" fontId="0" fillId="0" borderId="1" xfId="0" applyNumberFormat="1" applyBorder="1" applyAlignment="1">
      <alignment horizontal="center"/>
    </xf>
    <xf numFmtId="166" fontId="8" fillId="0" borderId="11" xfId="0" applyNumberFormat="1" applyFont="1" applyBorder="1" applyAlignment="1" applyProtection="1">
      <alignment horizontal="center"/>
      <protection locked="0"/>
    </xf>
    <xf numFmtId="166" fontId="8" fillId="0" borderId="1" xfId="0" applyNumberFormat="1" applyFont="1" applyBorder="1" applyAlignment="1" applyProtection="1">
      <alignment horizontal="center"/>
      <protection locked="0"/>
    </xf>
    <xf numFmtId="167" fontId="0" fillId="0" borderId="0" xfId="0" applyNumberFormat="1"/>
    <xf numFmtId="0" fontId="0" fillId="0" borderId="0" xfId="0" pivotButton="1"/>
    <xf numFmtId="1" fontId="0" fillId="0" borderId="0" xfId="0" applyNumberFormat="1"/>
    <xf numFmtId="167" fontId="0" fillId="7" borderId="0" xfId="0" applyNumberFormat="1" applyFill="1"/>
    <xf numFmtId="165" fontId="18" fillId="0" borderId="11" xfId="0" applyNumberFormat="1" applyFont="1" applyBorder="1" applyAlignment="1" applyProtection="1">
      <alignment horizontal="center" vertical="center"/>
      <protection locked="0"/>
    </xf>
    <xf numFmtId="165" fontId="8" fillId="0" borderId="11" xfId="0" applyNumberFormat="1" applyFont="1" applyBorder="1" applyAlignment="1" applyProtection="1">
      <alignment horizontal="center"/>
      <protection locked="0"/>
    </xf>
    <xf numFmtId="165" fontId="8" fillId="0" borderId="1" xfId="0" applyNumberFormat="1" applyFont="1" applyBorder="1" applyAlignment="1" applyProtection="1">
      <alignment horizontal="center"/>
      <protection locked="0"/>
    </xf>
    <xf numFmtId="0" fontId="0" fillId="0" borderId="11" xfId="0" applyBorder="1" applyAlignment="1" applyProtection="1">
      <alignment horizontal="center"/>
      <protection locked="0"/>
    </xf>
    <xf numFmtId="0" fontId="8" fillId="0" borderId="1" xfId="0" applyFont="1" applyBorder="1" applyAlignment="1">
      <alignment horizontal="center" vertical="center"/>
    </xf>
    <xf numFmtId="0" fontId="8" fillId="0" borderId="11" xfId="0" applyFont="1" applyBorder="1" applyAlignment="1" applyProtection="1">
      <alignment horizontal="center"/>
      <protection locked="0"/>
    </xf>
    <xf numFmtId="0" fontId="15" fillId="5" borderId="20" xfId="0" applyFont="1" applyFill="1" applyBorder="1" applyAlignment="1" applyProtection="1">
      <alignment horizontal="center"/>
      <protection locked="0"/>
    </xf>
    <xf numFmtId="0" fontId="0" fillId="0" borderId="1" xfId="0" applyBorder="1" applyAlignment="1" applyProtection="1">
      <alignment horizontal="center"/>
      <protection locked="0"/>
    </xf>
    <xf numFmtId="0" fontId="8" fillId="0" borderId="13" xfId="0" applyFont="1" applyBorder="1" applyAlignment="1" applyProtection="1">
      <alignment horizontal="center"/>
      <protection locked="0"/>
    </xf>
    <xf numFmtId="0" fontId="8" fillId="0" borderId="23" xfId="0" applyFont="1" applyBorder="1" applyAlignment="1" applyProtection="1">
      <alignment horizontal="center"/>
      <protection locked="0"/>
    </xf>
    <xf numFmtId="0" fontId="8" fillId="0" borderId="11" xfId="0" applyFont="1" applyBorder="1" applyAlignment="1" applyProtection="1">
      <alignment horizontal="center" vertical="center"/>
      <protection locked="0"/>
    </xf>
    <xf numFmtId="0" fontId="15" fillId="5" borderId="11" xfId="0" applyFont="1" applyFill="1" applyBorder="1" applyAlignment="1" applyProtection="1">
      <alignment horizontal="center"/>
      <protection locked="0"/>
    </xf>
    <xf numFmtId="0" fontId="15" fillId="5" borderId="11" xfId="0" applyFont="1" applyFill="1" applyBorder="1" applyAlignment="1" applyProtection="1">
      <alignment horizontal="center" vertical="center"/>
      <protection locked="0"/>
    </xf>
    <xf numFmtId="0" fontId="8" fillId="0" borderId="20" xfId="0" applyFont="1" applyBorder="1" applyAlignment="1" applyProtection="1">
      <alignment horizontal="center"/>
      <protection locked="0"/>
    </xf>
    <xf numFmtId="0" fontId="8" fillId="0" borderId="0" xfId="0" applyFont="1" applyAlignment="1">
      <alignment horizontal="center"/>
    </xf>
  </cellXfs>
  <cellStyles count="8">
    <cellStyle name="20% - Accent2 2" xfId="3" xr:uid="{532948FF-5946-476C-8938-A8E3D7BB6052}"/>
    <cellStyle name="Bad" xfId="6" builtinId="27"/>
    <cellStyle name="Comma" xfId="1" builtinId="3"/>
    <cellStyle name="Comma 2" xfId="7" xr:uid="{AC3A0863-A94D-4C5D-A8D8-5FC2E46BDF24}"/>
    <cellStyle name="Hyperlink" xfId="5" builtinId="8"/>
    <cellStyle name="Normal" xfId="0" builtinId="0"/>
    <cellStyle name="Normal 2 2" xfId="2" xr:uid="{F6787AA8-0CA1-4753-AFDC-67A007060F97}"/>
    <cellStyle name="Output 2" xfId="4" xr:uid="{326FF151-396C-45D8-B8DB-3E5F13EB2CC6}"/>
  </cellStyles>
  <dxfs count="160">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0"/>
        <color theme="0"/>
        <name val="Arial"/>
        <family val="2"/>
        <scheme val="none"/>
      </font>
      <alignment horizontal="center" vertical="bottom" textRotation="0" wrapText="0" indent="0" justifyLastLine="0" shrinkToFit="0" readingOrder="0"/>
    </dxf>
    <dxf>
      <fill>
        <patternFill patternType="none">
          <bgColor auto="1"/>
        </patternFill>
      </fill>
      <border diagonalUp="0" diagonalDown="0">
        <left style="thin">
          <color theme="4" tint="0.39997558519241921"/>
        </left>
        <right/>
        <top style="thin">
          <color theme="4" tint="0.39997558519241921"/>
        </top>
        <bottom style="thin">
          <color theme="4" tint="0.39997558519241921"/>
        </bottom>
      </border>
    </dxf>
    <dxf>
      <fill>
        <patternFill patternType="none">
          <bgColor auto="1"/>
        </patternFill>
      </fill>
      <border diagonalUp="0" diagonalDown="0" outline="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bgColor auto="1"/>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7" formatCode="[$USD]\ #,##0.00"/>
    </dxf>
    <dxf>
      <numFmt numFmtId="167" formatCode="[$USD]\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3" formatCode="#,##0"/>
      <fill>
        <patternFill patternType="solid">
          <fgColor indexed="64"/>
          <bgColor theme="2"/>
        </patternFill>
      </fill>
    </dxf>
    <dxf>
      <numFmt numFmtId="3" formatCode="#,##0"/>
      <fill>
        <patternFill patternType="solid">
          <fgColor indexed="64"/>
          <bgColor theme="2"/>
        </patternFill>
      </fill>
    </dxf>
    <dxf>
      <numFmt numFmtId="167" formatCode="[$USD]\ #,##0.00"/>
      <fill>
        <patternFill patternType="solid">
          <fgColor indexed="64"/>
          <bgColor theme="2"/>
        </patternFill>
      </fill>
    </dxf>
    <dxf>
      <numFmt numFmtId="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9C0006"/>
      </font>
      <fill>
        <patternFill>
          <bgColor rgb="FFFFC7CE"/>
        </patternFill>
      </fill>
    </dxf>
    <dxf>
      <font>
        <color rgb="FF9C0006"/>
      </font>
      <fill>
        <patternFill>
          <bgColor rgb="FFFFC7CE"/>
        </patternFill>
      </fill>
    </dxf>
    <dxf>
      <protection locked="1" hidden="0"/>
    </dxf>
    <dxf>
      <protection locked="1" hidden="0"/>
    </dxf>
    <dxf>
      <protection locked="1" hidden="0"/>
    </dxf>
    <dxf>
      <protection locked="0" hidden="0"/>
    </dxf>
    <dxf>
      <protection locked="0" hidden="0"/>
    </dxf>
    <dxf>
      <protection locked="1" hidden="0"/>
    </dxf>
    <dxf>
      <protection locked="0" hidden="0"/>
    </dxf>
    <dxf>
      <protection locked="0" hidden="0"/>
    </dxf>
    <dxf>
      <protection locked="1"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color auto="1"/>
        <name val="Calibri"/>
        <family val="2"/>
        <scheme val="minor"/>
      </font>
      <numFmt numFmtId="0" formatCode="General"/>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rgb="FF000000"/>
        <name val="Calibri"/>
        <family val="2"/>
        <scheme val="minor"/>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rgb="FF000000"/>
        <name val="Calibri"/>
        <family val="2"/>
        <scheme val="minor"/>
      </font>
      <numFmt numFmtId="20" formatCode="dd/mmm/yy"/>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rgb="FF000000"/>
        <name val="Calibri"/>
        <family val="2"/>
        <scheme val="minor"/>
      </font>
      <numFmt numFmtId="20" formatCode="dd/mmm/yy"/>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auto="1"/>
        <name val="Calibri"/>
        <family val="2"/>
        <scheme val="minor"/>
      </font>
      <numFmt numFmtId="20" formatCode="dd/mmm/yy"/>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auto="1"/>
        <name val="Calibri"/>
        <family val="2"/>
        <scheme val="minor"/>
      </font>
      <numFmt numFmtId="165" formatCode="dd\ mmm\ yy"/>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style="thin">
          <color indexed="64"/>
        </bottom>
        <vertical/>
        <horizontal/>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auto="1"/>
        <name val="Calibri"/>
        <family val="2"/>
        <scheme val="minor"/>
      </font>
      <numFmt numFmtId="165" formatCode="dd\ mmm\ yy"/>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style="thin">
          <color indexed="64"/>
        </bottom>
        <vertical/>
        <horizontal/>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auto="1"/>
        <name val="Calibri"/>
        <family val="2"/>
        <scheme val="minor"/>
      </font>
      <numFmt numFmtId="165" formatCode="dd\ mmm\ yy"/>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style="thin">
          <color indexed="64"/>
        </bottom>
        <vertical/>
        <horizontal/>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auto="1"/>
        <name val="Calibri"/>
        <family val="2"/>
        <scheme val="minor"/>
      </font>
      <numFmt numFmtId="165" formatCode="dd\ mmm\ yy"/>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style="thin">
          <color indexed="64"/>
        </bottom>
        <vertical/>
        <horizontal/>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auto="1"/>
        <name val="Calibri"/>
        <family val="2"/>
        <scheme val="minor"/>
      </font>
      <numFmt numFmtId="20" formatCode="dd/mmm/yy"/>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color auto="1"/>
      </font>
      <numFmt numFmtId="20" formatCode="dd/mmm/yy"/>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color auto="1"/>
      </font>
      <numFmt numFmtId="20" formatCode="dd/mmm/yy"/>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color rgb="FF000000"/>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rgb="FF000000"/>
        <name val="Calibri"/>
        <family val="2"/>
        <scheme val="minor"/>
      </font>
      <numFmt numFmtId="0" formatCode="General"/>
      <fill>
        <patternFill patternType="solid">
          <fgColor indexed="64"/>
          <bgColor rgb="FFFFFFFF"/>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color rgb="FF000000"/>
      </font>
      <numFmt numFmtId="0" formatCode="General"/>
      <fill>
        <patternFill patternType="solid">
          <fgColor indexed="64"/>
          <bgColor rgb="FFFFFFFF"/>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color rgb="FF000000"/>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color auto="1"/>
      </font>
      <numFmt numFmtId="0" formatCode="General"/>
      <fill>
        <patternFill patternType="solid">
          <fgColor indexed="64"/>
          <bgColor rgb="FFFFFFFF"/>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color rgb="FF000000"/>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color auto="1"/>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color rgb="FF000000"/>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top/>
        <bottom style="thin">
          <color indexed="64"/>
        </bottom>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rgb="FF000000"/>
        <name val="Calibri"/>
        <family val="2"/>
        <scheme val="minor"/>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color auto="1"/>
      </font>
      <numFmt numFmtId="0" formatCode="Genera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color auto="1"/>
      </font>
      <numFmt numFmtId="0" formatCode="Genera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color rgb="FF000000"/>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color auto="1"/>
      </font>
      <numFmt numFmtId="0" formatCode="General"/>
      <alignment horizontal="center" vertical="bottom" textRotation="0" wrapText="0" indent="0" justifyLastLine="0" shrinkToFit="0" readingOrder="0"/>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color auto="1"/>
      </font>
      <numFmt numFmtId="0" formatCode="Genera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0" formatCode="General"/>
      <alignment horizontal="center" vertical="bottom" textRotation="0" wrapText="0" indent="0" justifyLastLine="0" shrinkToFit="0" readingOrder="0"/>
      <border outline="0">
        <left style="thin">
          <color indexed="64"/>
        </left>
        <right style="thin">
          <color indexed="64"/>
        </right>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color rgb="FF000000"/>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top/>
        <bottom style="thin">
          <color indexed="64"/>
        </bottom>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color auto="1"/>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color auto="1"/>
      </font>
      <numFmt numFmtId="0" formatCode="General"/>
      <fill>
        <patternFill patternType="solid">
          <fgColor indexed="64"/>
          <bgColor rgb="FFFFFF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0"/>
        <name val="Calibri"/>
        <family val="2"/>
        <scheme val="minor"/>
      </font>
      <numFmt numFmtId="164" formatCode="#,##0.000"/>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color auto="1"/>
      </font>
      <numFmt numFmtId="166" formatCode="0.000"/>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color rgb="FF000000"/>
      </font>
      <numFmt numFmtId="1" formatCode="0"/>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color rgb="FF000000"/>
      </font>
      <numFmt numFmtId="1" formatCode="0"/>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color rgb="FF000000"/>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color rgb="FF000000"/>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color auto="1"/>
      </font>
      <numFmt numFmtId="165" formatCode="dd\ mmm\ yy"/>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color auto="1"/>
      </font>
      <numFmt numFmtId="20" formatCode="dd/mmm/yy"/>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color rgb="FF000000"/>
      </font>
      <numFmt numFmtId="1" formatCode="0"/>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bottom style="thin">
          <color indexed="64"/>
        </bottom>
      </border>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color rgb="FF000000"/>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bottom style="thin">
          <color indexed="64"/>
        </bottom>
      </border>
      <protection locked="0" hidden="0"/>
    </dxf>
    <dxf>
      <border>
        <top style="thin">
          <color indexed="64"/>
        </top>
      </border>
    </dxf>
    <dxf>
      <font>
        <strike val="0"/>
        <outline val="0"/>
        <shadow val="0"/>
        <u val="none"/>
        <vertAlign val="baseline"/>
        <sz val="11"/>
        <color theme="0"/>
        <name val="Calibri"/>
        <family val="2"/>
        <scheme val="minor"/>
      </font>
      <fill>
        <patternFill patternType="solid">
          <fgColor indexed="64"/>
          <bgColor rgb="FF00B0F0"/>
        </patternFill>
      </fill>
      <alignment horizontal="center" vertical="bottom" textRotation="0" wrapText="0" indent="0" justifyLastLine="0" shrinkToFit="0" readingOrder="0"/>
      <border diagonalUp="0" diagonalDown="0">
        <left style="thin">
          <color indexed="64"/>
        </left>
        <right style="thin">
          <color indexed="64"/>
        </right>
        <top/>
        <bottom/>
      </border>
      <protection locked="1" hidden="0"/>
    </dxf>
    <dxf>
      <font>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0" indent="0" justifyLastLine="0" shrinkToFit="0" readingOrder="0"/>
      <protection locked="0" hidden="0"/>
    </dxf>
    <dxf>
      <border>
        <bottom style="medium">
          <color indexed="64"/>
        </bottom>
      </border>
    </dxf>
    <dxf>
      <font>
        <b/>
        <strike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bottom/>
      </border>
      <protection locked="1" hidden="0"/>
    </dxf>
    <dxf>
      <font>
        <color rgb="FFFF0000"/>
      </font>
    </dxf>
    <dxf>
      <font>
        <color rgb="FFFF0000"/>
      </font>
    </dxf>
    <dxf>
      <font>
        <color rgb="FFFF0000"/>
      </font>
    </dxf>
    <dxf>
      <font>
        <color rgb="FFFF0000"/>
      </font>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ill>
        <patternFill patternType="none">
          <fgColor indexed="64"/>
          <bgColor auto="1"/>
        </patternFill>
      </fill>
    </dxf>
    <dxf>
      <fill>
        <patternFill patternType="none">
          <fgColor indexed="64"/>
          <bgColor auto="1"/>
        </patternFill>
      </fill>
    </dxf>
    <dxf>
      <font>
        <b/>
        <color theme="1"/>
      </font>
    </dxf>
    <dxf>
      <font>
        <b/>
        <color theme="1"/>
      </font>
    </dxf>
    <dxf>
      <font>
        <b/>
        <color theme="1"/>
      </font>
      <border>
        <top style="thin">
          <color theme="1"/>
        </top>
      </border>
    </dxf>
    <dxf>
      <font>
        <b/>
        <color theme="1"/>
      </font>
      <border>
        <bottom style="thin">
          <color theme="1"/>
        </bottom>
      </border>
    </dxf>
    <dxf>
      <font>
        <color theme="1"/>
      </font>
      <border>
        <left style="thin">
          <color theme="1"/>
        </left>
        <right style="thin">
          <color theme="1"/>
        </right>
        <top style="thin">
          <color theme="1"/>
        </top>
        <bottom style="thin">
          <color theme="1"/>
        </bottom>
        <vertical style="thin">
          <color theme="1"/>
        </vertical>
        <horizontal style="thin">
          <color theme="1"/>
        </horizontal>
      </border>
    </dxf>
  </dxfs>
  <tableStyles count="2" defaultTableStyle="TableStyleMedium2" defaultPivotStyle="PivotStyleLight16">
    <tableStyle name="Invisible" pivot="0" table="0" count="0" xr9:uid="{109CE7D4-F605-407F-81A2-FAB9DBFC1973}"/>
    <tableStyle name="TableStyleLight1 2" pivot="0" count="7" xr9:uid="{0EC9DA7F-4C46-4CF3-B639-5CB6AF57BB00}">
      <tableStyleElement type="wholeTable" dxfId="159"/>
      <tableStyleElement type="headerRow" dxfId="158"/>
      <tableStyleElement type="totalRow" dxfId="157"/>
      <tableStyleElement type="firstColumn" dxfId="156"/>
      <tableStyleElement type="lastColumn" dxfId="155"/>
      <tableStyleElement type="firstRowStripe" dxfId="154"/>
      <tableStyleElement type="firstColumnStripe" dxfId="153"/>
    </tableStyle>
  </tableStyles>
  <colors>
    <mruColors>
      <color rgb="FF00AA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microsoft.com/office/2017/06/relationships/rdRichValue" Target="richData/rdrichvalue.xml"/><Relationship Id="rId23" Type="http://schemas.microsoft.com/office/2006/relationships/vbaProject" Target="vbaProject.bin"/><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 Id="rId22" Type="http://schemas.openxmlformats.org/officeDocument/2006/relationships/customXml" Target="../customXml/item4.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207008</xdr:colOff>
      <xdr:row>1</xdr:row>
      <xdr:rowOff>111760</xdr:rowOff>
    </xdr:from>
    <xdr:to>
      <xdr:col>5</xdr:col>
      <xdr:colOff>97155</xdr:colOff>
      <xdr:row>7</xdr:row>
      <xdr:rowOff>92333</xdr:rowOff>
    </xdr:to>
    <xdr:pic>
      <xdr:nvPicPr>
        <xdr:cNvPr id="2" name="Picture 1">
          <a:extLst>
            <a:ext uri="{FF2B5EF4-FFF2-40B4-BE49-F238E27FC236}">
              <a16:creationId xmlns:a16="http://schemas.microsoft.com/office/drawing/2014/main" id="{B1A32DEC-1F23-4B68-8F9E-302FCEB15E81}"/>
            </a:ext>
          </a:extLst>
        </xdr:cNvPr>
        <xdr:cNvPicPr>
          <a:picLocks noChangeAspect="1"/>
        </xdr:cNvPicPr>
      </xdr:nvPicPr>
      <xdr:blipFill>
        <a:blip xmlns:r="http://schemas.openxmlformats.org/officeDocument/2006/relationships" r:embed="rId1"/>
        <a:stretch>
          <a:fillRect/>
        </a:stretch>
      </xdr:blipFill>
      <xdr:spPr>
        <a:xfrm>
          <a:off x="281303" y="311785"/>
          <a:ext cx="3338197" cy="1112143"/>
        </a:xfrm>
        <a:prstGeom prst="rect">
          <a:avLst/>
        </a:prstGeom>
      </xdr:spPr>
    </xdr:pic>
    <xdr:clientData/>
  </xdr:twoCellAnchor>
  <mc:AlternateContent xmlns:mc="http://schemas.openxmlformats.org/markup-compatibility/2006">
    <mc:Choice xmlns:a14="http://schemas.microsoft.com/office/drawing/2010/main" Requires="a14">
      <xdr:twoCellAnchor>
        <xdr:from>
          <xdr:col>9</xdr:col>
          <xdr:colOff>514350</xdr:colOff>
          <xdr:row>2</xdr:row>
          <xdr:rowOff>0</xdr:rowOff>
        </xdr:from>
        <xdr:to>
          <xdr:col>13</xdr:col>
          <xdr:colOff>447675</xdr:colOff>
          <xdr:row>7</xdr:row>
          <xdr:rowOff>0</xdr:rowOff>
        </xdr:to>
        <xdr:grpSp>
          <xdr:nvGrpSpPr>
            <xdr:cNvPr id="4" name="Group 3">
              <a:extLst>
                <a:ext uri="{FF2B5EF4-FFF2-40B4-BE49-F238E27FC236}">
                  <a16:creationId xmlns:a16="http://schemas.microsoft.com/office/drawing/2014/main" id="{9F158E03-39B8-AF93-0545-CD12BB42360E}"/>
                </a:ext>
              </a:extLst>
            </xdr:cNvPr>
            <xdr:cNvGrpSpPr/>
          </xdr:nvGrpSpPr>
          <xdr:grpSpPr>
            <a:xfrm>
              <a:off x="9915525" y="390525"/>
              <a:ext cx="5048250" cy="952500"/>
              <a:chOff x="9915525" y="390525"/>
              <a:chExt cx="5048252" cy="952500"/>
            </a:xfrm>
          </xdr:grpSpPr>
          <xdr:sp macro="" textlink="">
            <xdr:nvSpPr>
              <xdr:cNvPr id="1027" name="Button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9915525" y="390525"/>
                <a:ext cx="1078892" cy="340280"/>
              </a:xfrm>
              <a:prstGeom prst="rect">
                <a:avLst/>
              </a:prstGeom>
              <a:noFill/>
              <a:ln w="9525">
                <a:miter lim="800000"/>
                <a:headEnd/>
                <a:tailEnd/>
              </a:ln>
            </xdr:spPr>
            <xdr:txBody>
              <a:bodyPr vertOverflow="clip" wrap="square" lIns="27432" tIns="27432" rIns="27432" bIns="27432" anchor="ctr" upright="1"/>
              <a:lstStyle/>
              <a:p>
                <a:pPr algn="ctr" rtl="0">
                  <a:defRPr sz="1000"/>
                </a:pPr>
                <a:r>
                  <a:rPr lang="en-ZA" sz="1100" b="1" i="0" u="none" strike="noStrike" baseline="0">
                    <a:solidFill>
                      <a:srgbClr val="000000"/>
                    </a:solidFill>
                    <a:latin typeface="Calibri"/>
                    <a:ea typeface="Calibri"/>
                    <a:cs typeface="Calibri"/>
                  </a:rPr>
                  <a:t>Add Column</a:t>
                </a:r>
              </a:p>
            </xdr:txBody>
          </xdr:sp>
          <xdr:sp macro="" textlink="">
            <xdr:nvSpPr>
              <xdr:cNvPr id="1048" name="Button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11233385" y="390525"/>
                <a:ext cx="1078892" cy="340280"/>
              </a:xfrm>
              <a:prstGeom prst="rect">
                <a:avLst/>
              </a:prstGeom>
              <a:noFill/>
              <a:ln w="9525">
                <a:miter lim="800000"/>
                <a:headEnd/>
                <a:tailEnd/>
              </a:ln>
            </xdr:spPr>
            <xdr:txBody>
              <a:bodyPr vertOverflow="clip" wrap="square" lIns="27432" tIns="27432" rIns="27432" bIns="27432" anchor="ctr" upright="1"/>
              <a:lstStyle/>
              <a:p>
                <a:pPr algn="ctr" rtl="0">
                  <a:defRPr sz="1000"/>
                </a:pPr>
                <a:r>
                  <a:rPr lang="en-ZA" sz="1100" b="1" i="0" u="none" strike="noStrike" baseline="0">
                    <a:solidFill>
                      <a:srgbClr val="000000"/>
                    </a:solidFill>
                    <a:latin typeface="Calibri"/>
                    <a:ea typeface="Calibri"/>
                    <a:cs typeface="Calibri"/>
                  </a:rPr>
                  <a:t>Delete Column</a:t>
                </a:r>
              </a:p>
            </xdr:txBody>
          </xdr:sp>
          <xdr:sp macro="" textlink="">
            <xdr:nvSpPr>
              <xdr:cNvPr id="1051" name="Button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9915525" y="1002745"/>
                <a:ext cx="1078892" cy="340280"/>
              </a:xfrm>
              <a:prstGeom prst="rect">
                <a:avLst/>
              </a:prstGeom>
              <a:noFill/>
              <a:ln w="9525">
                <a:miter lim="800000"/>
                <a:headEnd/>
                <a:tailEnd/>
              </a:ln>
            </xdr:spPr>
            <xdr:txBody>
              <a:bodyPr vertOverflow="clip" wrap="square" lIns="27432" tIns="27432" rIns="27432" bIns="27432" anchor="ctr" upright="1"/>
              <a:lstStyle/>
              <a:p>
                <a:pPr algn="ctr" rtl="0">
                  <a:defRPr sz="1000"/>
                </a:pPr>
                <a:r>
                  <a:rPr lang="en-ZA" sz="1100" b="1" i="0" u="none" strike="noStrike" baseline="0">
                    <a:solidFill>
                      <a:srgbClr val="000000"/>
                    </a:solidFill>
                    <a:latin typeface="Calibri"/>
                    <a:ea typeface="Calibri"/>
                    <a:cs typeface="Calibri"/>
                  </a:rPr>
                  <a:t>Add Rows</a:t>
                </a:r>
              </a:p>
            </xdr:txBody>
          </xdr:sp>
          <xdr:sp macro="" textlink="">
            <xdr:nvSpPr>
              <xdr:cNvPr id="1054" name="Button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11233385" y="1002745"/>
                <a:ext cx="1078892" cy="340280"/>
              </a:xfrm>
              <a:prstGeom prst="rect">
                <a:avLst/>
              </a:prstGeom>
              <a:noFill/>
              <a:ln w="9525">
                <a:miter lim="800000"/>
                <a:headEnd/>
                <a:tailEnd/>
              </a:ln>
            </xdr:spPr>
            <xdr:txBody>
              <a:bodyPr vertOverflow="clip" wrap="square" lIns="27432" tIns="27432" rIns="27432" bIns="27432" anchor="ctr" upright="1"/>
              <a:lstStyle/>
              <a:p>
                <a:pPr algn="ctr" rtl="0">
                  <a:defRPr sz="1000"/>
                </a:pPr>
                <a:r>
                  <a:rPr lang="en-ZA" sz="1100" b="1" i="0" u="none" strike="noStrike" baseline="0">
                    <a:solidFill>
                      <a:srgbClr val="000000"/>
                    </a:solidFill>
                    <a:latin typeface="Calibri"/>
                    <a:ea typeface="Calibri"/>
                    <a:cs typeface="Calibri"/>
                  </a:rPr>
                  <a:t>Delete Rows</a:t>
                </a:r>
              </a:p>
            </xdr:txBody>
          </xdr:sp>
          <xdr:sp macro="" textlink="">
            <xdr:nvSpPr>
              <xdr:cNvPr id="1055" name="Button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12551250" y="390525"/>
                <a:ext cx="1078891" cy="340280"/>
              </a:xfrm>
              <a:prstGeom prst="rect">
                <a:avLst/>
              </a:prstGeom>
              <a:noFill/>
              <a:ln w="9525">
                <a:miter lim="800000"/>
                <a:headEnd/>
                <a:tailEnd/>
              </a:ln>
            </xdr:spPr>
            <xdr:txBody>
              <a:bodyPr vertOverflow="clip" wrap="square" lIns="27432" tIns="27432" rIns="27432" bIns="27432" anchor="ctr" upright="1"/>
              <a:lstStyle/>
              <a:p>
                <a:pPr algn="ctr" rtl="0">
                  <a:defRPr sz="1000"/>
                </a:pPr>
                <a:r>
                  <a:rPr lang="en-ZA" sz="1100" b="1" i="0" u="none" strike="noStrike" baseline="0">
                    <a:solidFill>
                      <a:srgbClr val="000000"/>
                    </a:solidFill>
                    <a:latin typeface="Calibri"/>
                    <a:ea typeface="Calibri"/>
                    <a:cs typeface="Calibri"/>
                  </a:rPr>
                  <a:t>Show All</a:t>
                </a:r>
              </a:p>
            </xdr:txBody>
          </xdr:sp>
          <xdr:sp macro="" textlink="">
            <xdr:nvSpPr>
              <xdr:cNvPr id="1057" name="Button 33" hidden="1">
                <a:extLst>
                  <a:ext uri="{63B3BB69-23CF-44E3-9099-C40C66FF867C}">
                    <a14:compatExt spid="_x0000_s1057"/>
                  </a:ext>
                  <a:ext uri="{FF2B5EF4-FFF2-40B4-BE49-F238E27FC236}">
                    <a16:creationId xmlns:a16="http://schemas.microsoft.com/office/drawing/2014/main" id="{00000000-0008-0000-0000-000021040000}"/>
                  </a:ext>
                </a:extLst>
              </xdr:cNvPr>
              <xdr:cNvSpPr/>
            </xdr:nvSpPr>
            <xdr:spPr bwMode="auto">
              <a:xfrm>
                <a:off x="12563475" y="1000125"/>
                <a:ext cx="1085850" cy="342900"/>
              </a:xfrm>
              <a:prstGeom prst="rect">
                <a:avLst/>
              </a:prstGeom>
              <a:noFill/>
              <a:ln w="9525">
                <a:miter lim="800000"/>
                <a:headEnd/>
                <a:tailEnd/>
              </a:ln>
            </xdr:spPr>
            <xdr:txBody>
              <a:bodyPr vertOverflow="clip" wrap="square" lIns="27432" tIns="27432" rIns="27432" bIns="27432" anchor="ctr" upright="1"/>
              <a:lstStyle/>
              <a:p>
                <a:pPr algn="ctr" rtl="0">
                  <a:defRPr sz="1000"/>
                </a:pPr>
                <a:r>
                  <a:rPr lang="en-ZA" sz="1100" b="1" i="0" u="none" strike="noStrike" baseline="0">
                    <a:solidFill>
                      <a:srgbClr val="000000"/>
                    </a:solidFill>
                    <a:latin typeface="Calibri"/>
                    <a:ea typeface="Calibri"/>
                    <a:cs typeface="Calibri"/>
                  </a:rPr>
                  <a:t>Refresh</a:t>
                </a:r>
              </a:p>
            </xdr:txBody>
          </xdr:sp>
          <xdr:sp macro="" textlink="">
            <xdr:nvSpPr>
              <xdr:cNvPr id="1064" name="Button 40" hidden="1">
                <a:extLst>
                  <a:ext uri="{63B3BB69-23CF-44E3-9099-C40C66FF867C}">
                    <a14:compatExt spid="_x0000_s1064"/>
                  </a:ext>
                  <a:ext uri="{FF2B5EF4-FFF2-40B4-BE49-F238E27FC236}">
                    <a16:creationId xmlns:a16="http://schemas.microsoft.com/office/drawing/2014/main" id="{00000000-0008-0000-0000-000028040000}"/>
                  </a:ext>
                </a:extLst>
              </xdr:cNvPr>
              <xdr:cNvSpPr/>
            </xdr:nvSpPr>
            <xdr:spPr bwMode="auto">
              <a:xfrm>
                <a:off x="13887452" y="390525"/>
                <a:ext cx="1076325" cy="342900"/>
              </a:xfrm>
              <a:prstGeom prst="rect">
                <a:avLst/>
              </a:prstGeom>
              <a:noFill/>
              <a:ln w="9525">
                <a:miter lim="800000"/>
                <a:headEnd/>
                <a:tailEnd/>
              </a:ln>
            </xdr:spPr>
            <xdr:txBody>
              <a:bodyPr vertOverflow="clip" wrap="square" lIns="27432" tIns="27432" rIns="27432" bIns="27432" anchor="ctr" upright="1"/>
              <a:lstStyle/>
              <a:p>
                <a:pPr algn="ctr" rtl="0">
                  <a:defRPr sz="1000"/>
                </a:pPr>
                <a:r>
                  <a:rPr lang="en-ZA" sz="1100" b="1" i="0" u="none" strike="noStrike" baseline="0">
                    <a:solidFill>
                      <a:srgbClr val="000000"/>
                    </a:solidFill>
                    <a:latin typeface="Calibri"/>
                    <a:ea typeface="Calibri"/>
                    <a:cs typeface="Calibri"/>
                  </a:rPr>
                  <a:t>Demurrage</a:t>
                </a:r>
              </a:p>
            </xdr:txBody>
          </xdr:sp>
        </xdr:grp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76200</xdr:colOff>
          <xdr:row>8</xdr:row>
          <xdr:rowOff>114300</xdr:rowOff>
        </xdr:from>
        <xdr:to>
          <xdr:col>5</xdr:col>
          <xdr:colOff>1819275</xdr:colOff>
          <xdr:row>11</xdr:row>
          <xdr:rowOff>85725</xdr:rowOff>
        </xdr:to>
        <xdr:sp macro="" textlink="">
          <xdr:nvSpPr>
            <xdr:cNvPr id="6145" name="Button 1" hidden="1">
              <a:extLst>
                <a:ext uri="{63B3BB69-23CF-44E3-9099-C40C66FF867C}">
                  <a14:compatExt spid="_x0000_s6145"/>
                </a:ext>
                <a:ext uri="{FF2B5EF4-FFF2-40B4-BE49-F238E27FC236}">
                  <a16:creationId xmlns:a16="http://schemas.microsoft.com/office/drawing/2014/main" id="{00000000-0008-0000-0100-0000011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ZA" sz="1100" b="0" i="0" u="none" strike="noStrike" baseline="0">
                  <a:solidFill>
                    <a:srgbClr val="000000"/>
                  </a:solidFill>
                  <a:latin typeface="Calibri"/>
                  <a:ea typeface="Calibri"/>
                  <a:cs typeface="Calibri"/>
                </a:rPr>
                <a:t>Email Tracking Report</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editAs="absolute">
    <xdr:from>
      <xdr:col>1</xdr:col>
      <xdr:colOff>0</xdr:colOff>
      <xdr:row>0</xdr:row>
      <xdr:rowOff>123825</xdr:rowOff>
    </xdr:from>
    <xdr:to>
      <xdr:col>1</xdr:col>
      <xdr:colOff>1733550</xdr:colOff>
      <xdr:row>5</xdr:row>
      <xdr:rowOff>104775</xdr:rowOff>
    </xdr:to>
    <mc:AlternateContent xmlns:mc="http://schemas.openxmlformats.org/markup-compatibility/2006" xmlns:sle15="http://schemas.microsoft.com/office/drawing/2012/slicer">
      <mc:Choice Requires="sle15">
        <xdr:graphicFrame macro="">
          <xdr:nvGraphicFramePr>
            <xdr:cNvPr id="2" name="Active">
              <a:extLst>
                <a:ext uri="{FF2B5EF4-FFF2-40B4-BE49-F238E27FC236}">
                  <a16:creationId xmlns:a16="http://schemas.microsoft.com/office/drawing/2014/main" id="{169A17AE-EE51-4F01-FBA1-9D993BF81B4A}"/>
                </a:ext>
              </a:extLst>
            </xdr:cNvPr>
            <xdr:cNvGraphicFramePr/>
          </xdr:nvGraphicFramePr>
          <xdr:xfrm>
            <a:off x="0" y="0"/>
            <a:ext cx="0" cy="0"/>
          </xdr:xfrm>
          <a:graphic>
            <a:graphicData uri="http://schemas.microsoft.com/office/drawing/2010/slicer">
              <sle:slicer xmlns:sle="http://schemas.microsoft.com/office/drawing/2010/slicer" name="Active"/>
            </a:graphicData>
          </a:graphic>
        </xdr:graphicFrame>
      </mc:Choice>
      <mc:Fallback xmlns="">
        <xdr:sp macro="" textlink="">
          <xdr:nvSpPr>
            <xdr:cNvPr id="0" name=""/>
            <xdr:cNvSpPr>
              <a:spLocks noTextEdit="1"/>
            </xdr:cNvSpPr>
          </xdr:nvSpPr>
          <xdr:spPr>
            <a:xfrm>
              <a:off x="190500" y="123825"/>
              <a:ext cx="1733550" cy="9334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loyd Rennie" refreshedDate="45870.673835069443" createdVersion="8" refreshedVersion="8" minRefreshableVersion="3" recordCount="1" xr:uid="{E5DC1A6C-3448-4BBE-A254-111E47DFEC0C}">
  <cacheSource type="worksheet">
    <worksheetSource name="Demurrage_Schedule"/>
  </cacheSource>
  <cacheFields count="6">
    <cacheField name="Load #" numFmtId="1">
      <sharedItems containsNonDate="0" containsString="0" containsBlank="1"/>
    </cacheField>
    <cacheField name="Supplier Invoice #" numFmtId="1">
      <sharedItems containsNonDate="0" containsString="0" containsBlank="1"/>
    </cacheField>
    <cacheField name="Transporter" numFmtId="0">
      <sharedItems containsNonDate="0" containsBlank="1" count="3">
        <m/>
        <s v="Access Logistic" u="1"/>
        <s v="Afbuy" u="1"/>
      </sharedItems>
    </cacheField>
    <cacheField name="Demurrage Days - Border" numFmtId="1">
      <sharedItems containsNonDate="0" containsString="0" containsBlank="1"/>
    </cacheField>
    <cacheField name="Demurrage Days - Offload" numFmtId="1">
      <sharedItems containsNonDate="0" containsString="0" containsBlank="1"/>
    </cacheField>
    <cacheField name="Demurrage" numFmtId="167">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m/>
    <m/>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98CE8E-1A89-4BEA-83CE-22DB95C382DC}"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O7:P9" firstHeaderRow="1" firstDataRow="1" firstDataCol="1"/>
  <pivotFields count="6">
    <pivotField compact="0" numFmtId="1" outline="0" showAll="0"/>
    <pivotField compact="0" outline="0" showAll="0"/>
    <pivotField axis="axisRow" compact="0" outline="0" showAll="0">
      <items count="4">
        <item m="1" x="1"/>
        <item m="1" x="2"/>
        <item x="0"/>
        <item t="default"/>
      </items>
    </pivotField>
    <pivotField compact="0" outline="0" showAll="0"/>
    <pivotField compact="0" numFmtId="1" outline="0" showAll="0"/>
    <pivotField dataField="1" compact="0" numFmtId="167" outline="0" showAll="0"/>
  </pivotFields>
  <rowFields count="1">
    <field x="2"/>
  </rowFields>
  <rowItems count="2">
    <i>
      <x v="2"/>
    </i>
    <i t="grand">
      <x/>
    </i>
  </rowItems>
  <colItems count="1">
    <i/>
  </colItems>
  <dataFields count="1">
    <dataField name="Sum of Demurrage" fld="5" baseField="0" baseItem="0" numFmtId="167"/>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CFB2992-3262-40C8-AF48-A9885474A12F}" autoFormatId="16" applyNumberFormats="0" applyBorderFormats="0" applyFontFormats="0" applyPatternFormats="0" applyAlignmentFormats="0" applyWidthHeightFormats="0">
  <queryTableRefresh nextId="29" unboundColumnsRight="2">
    <queryTableFields count="8">
      <queryTableField id="1" name="Load #" tableColumnId="1"/>
      <queryTableField id="6" name="Supplier Invoice #" tableColumnId="6"/>
      <queryTableField id="23" name="Days at Zambia Border" tableColumnId="23"/>
      <queryTableField id="24" name="Days at DRC Border" tableColumnId="24"/>
      <queryTableField id="25" name="Days at Whisky" tableColumnId="25"/>
      <queryTableField id="28" name="Days at Site" tableColumnId="2"/>
      <queryTableField id="26" dataBound="0" tableColumnId="26"/>
      <queryTableField id="27" dataBound="0" tableColumnId="2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0C543DA8-8F9E-4F8C-8833-CBEA780E536F}" autoFormatId="16" applyNumberFormats="0" applyBorderFormats="0" applyFontFormats="0" applyPatternFormats="0" applyAlignmentFormats="0" applyWidthHeightFormats="0">
  <queryTableRefresh nextId="10">
    <queryTableFields count="4">
      <queryTableField id="6" name="Status" tableColumnId="1"/>
      <queryTableField id="7" name="Location" tableColumnId="4"/>
      <queryTableField id="2" name="Trucks" tableColumnId="2"/>
      <queryTableField id="3" name="Tonnage"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0AC02BDD-0AA8-4025-A563-E71E6A951427}" autoFormatId="16" applyNumberFormats="0" applyBorderFormats="0" applyFontFormats="0" applyPatternFormats="0" applyAlignmentFormats="0" applyWidthHeightFormats="0">
  <queryTableRefresh nextId="7">
    <queryTableFields count="6">
      <queryTableField id="1" name="Load #" tableColumnId="1"/>
      <queryTableField id="2" name="Supplier Invoice #" tableColumnId="2"/>
      <queryTableField id="3" name="Transporter" tableColumnId="3"/>
      <queryTableField id="4" name="Demurrage Days - Border" tableColumnId="4"/>
      <queryTableField id="5" name="Demurrage Days - Offload" tableColumnId="5"/>
      <queryTableField id="6" name="Demurrage"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6" xr16:uid="{47D99873-9DDF-43C1-A008-D67069C43F27}" autoFormatId="16" applyNumberFormats="0" applyBorderFormats="0" applyFontFormats="0" applyPatternFormats="0" applyAlignmentFormats="0" applyWidthHeightFormats="0">
  <queryTableRefresh nextId="2">
    <queryTableFields count="1">
      <queryTableField id="1" name="Transporter" tableColumnId="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2" xr16:uid="{65152ED6-3B1E-45B3-8D2C-111194651EC3}" autoFormatId="16" applyNumberFormats="0" applyBorderFormats="0" applyFontFormats="0" applyPatternFormats="0" applyAlignmentFormats="0" applyWidthHeightFormats="0">
  <queryTableRefresh nextId="2">
    <queryTableFields count="1">
      <queryTableField id="1" name="Sub - Contractor" tableColumnId="1"/>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8" xr16:uid="{C38B1054-C40D-4E71-83FF-413EBD99292D}" autoFormatId="16" applyNumberFormats="0" applyBorderFormats="0" applyFontFormats="0" applyPatternFormats="0" applyAlignmentFormats="0" applyWidthHeightFormats="0">
  <queryTableRefresh nextId="2">
    <queryTableFields count="1">
      <queryTableField id="1" name="Nationality" tableColumnId="1"/>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212D492B-2D49-4009-B6F8-EBDC9BA9463D}" autoFormatId="16" applyNumberFormats="0" applyBorderFormats="0" applyFontFormats="0" applyPatternFormats="0" applyAlignmentFormats="0" applyWidthHeightFormats="0">
  <queryTableRefresh nextId="2">
    <queryTableFields count="1">
      <queryTableField id="1" name="Customer" tableColumnId="1"/>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10" xr16:uid="{A8CCF990-3E3C-4870-A713-B5D680CBD4F8}" autoFormatId="16" applyNumberFormats="0" applyBorderFormats="0" applyFontFormats="0" applyPatternFormats="0" applyAlignmentFormats="0" applyWidthHeightFormats="0">
  <queryTableRefresh nextId="2">
    <queryTableFields count="1">
      <queryTableField id="1" name="Product" tableColumnId="1"/>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2" xr16:uid="{61595CB3-E441-4698-810C-054B15B3B9AB}" autoFormatId="16" applyNumberFormats="0" applyBorderFormats="0" applyFontFormats="0" applyPatternFormats="0" applyAlignmentFormats="0" applyWidthHeightFormats="0">
  <queryTableRefresh nextId="2">
    <queryTableFields count="1">
      <queryTableField id="1" name="Clearing Agent" tableColumnId="1"/>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7" backgroundRefresh="0" connectionId="7" xr16:uid="{C05B10D8-E412-499C-BCD9-D91B4AD207CC}" autoFormatId="16" applyNumberFormats="0" applyBorderFormats="0" applyFontFormats="0" applyPatternFormats="0" applyAlignmentFormats="0" applyWidthHeightFormats="0">
  <queryTableRefresh nextId="2">
    <queryTableFields count="1">
      <queryTableField id="1" name="Mine" tableColumnId="1"/>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8" backgroundRefresh="0" connectionId="6" xr16:uid="{139F4572-C109-4CA6-BA14-FFC98690493C}" autoFormatId="16" applyNumberFormats="0" applyBorderFormats="0" applyFontFormats="0" applyPatternFormats="0" applyAlignmentFormats="0" applyWidthHeightFormats="0">
  <queryTableRefresh nextId="2">
    <queryTableFields count="1">
      <queryTableField id="1" name="Header Options" tableColumnId="1"/>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ve" xr10:uid="{E2BF2902-0569-431E-876F-BCAA47EF47E0}" sourceName="Active">
  <extLst>
    <x:ext xmlns:x15="http://schemas.microsoft.com/office/spreadsheetml/2010/11/main" uri="{2F2917AC-EB37-4324-AD4E-5DD8C200BD13}">
      <x15:tableSlicerCache tableId="42"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tive" xr10:uid="{06AF071B-3C15-4AF0-A785-63E9DCB03E9E}" cache="Slicer_Active" caption="Active" style="SlicerStyleDark1" rowHeight="24130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21.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22.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24.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25.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26.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48B0E1-FAD3-4D21-A96A-6B27765D5220}" name="Table1" displayName="Table1" ref="B10:AO13" totalsRowCount="1" headerRowDxfId="140" dataDxfId="138" totalsRowDxfId="137" headerRowBorderDxfId="139" totalsRowBorderDxfId="136">
  <autoFilter ref="B10:AO12" xr:uid="{9748B0E1-FAD3-4D21-A96A-6B27765D5220}"/>
  <tableColumns count="40">
    <tableColumn id="1" xr3:uid="{043C2EA5-53A6-463E-B645-B6B8D7488D92}" name="PO #" totalsRowLabel="Total" dataDxfId="135" totalsRowDxfId="134"/>
    <tableColumn id="2" xr3:uid="{6EC65ABF-94FF-4BD0-A0D3-1D679CFCF23D}" name="FXI #" dataDxfId="133" totalsRowDxfId="132"/>
    <tableColumn id="3" xr3:uid="{2A0C6913-E483-4BD9-B578-D819673BC0E5}" name="Load #" totalsRowFunction="countNums" dataDxfId="131" totalsRowDxfId="130"/>
    <tableColumn id="4" xr3:uid="{5D67F2A7-D1E0-4FC0-BBF4-3AD4B3032A6C}" name="Date: Loaded" dataDxfId="129" totalsRowDxfId="128"/>
    <tableColumn id="5" xr3:uid="{D3DC7CBF-C9E1-455B-BE90-2F933734D998}" name="Date: Dispatched" dataDxfId="127" totalsRowDxfId="126"/>
    <tableColumn id="6" xr3:uid="{97B89269-E063-40AF-84D7-E3A2F6F172B3}" name="Loading Point" dataDxfId="125" totalsRowDxfId="124"/>
    <tableColumn id="7" xr3:uid="{EFE2C33F-9570-4267-938E-555E09517E31}" name="Offloading Point" dataDxfId="123" totalsRowDxfId="122"/>
    <tableColumn id="8" xr3:uid="{B52AD7DE-1521-4BB4-BFB0-F491ACA0297F}" name="Supplier Invoice #" totalsRowFunction="count" dataDxfId="121" totalsRowDxfId="120"/>
    <tableColumn id="9" xr3:uid="{D5BDD355-45DC-42E4-B8D6-2E1A6474655C}" name="No. of Items" totalsRowFunction="sum" dataDxfId="119" totalsRowDxfId="118"/>
    <tableColumn id="10" xr3:uid="{808158BE-336E-41A6-A1DC-4BB2F7ECC064}" name="Tonnage Dispatched" totalsRowFunction="sum" dataDxfId="117" totalsRowDxfId="116"/>
    <tableColumn id="37" xr3:uid="{FBD7A002-8D9F-489E-8802-4BC6BB48CA40}" name="Stock Code" dataDxfId="115" totalsRowDxfId="114"/>
    <tableColumn id="11" xr3:uid="{58E5176F-20EE-4DF7-AECB-C5B261C43CBA}" name="BV Code &amp; Partial #" dataDxfId="113" totalsRowDxfId="112"/>
    <tableColumn id="38" xr3:uid="{5D6E5887-A184-4E18-A474-B025C9265B13}" name="BV Status" dataDxfId="111" totalsRowDxfId="110"/>
    <tableColumn id="12" xr3:uid="{3D49A0C7-1335-4DC0-8B48-1EF0677022A4}" name="Truck REG #" dataDxfId="109" totalsRowDxfId="108" dataCellStyle="Normal"/>
    <tableColumn id="13" xr3:uid="{5FA281FF-545B-4DCF-9D51-CCBCB91F8956}" name="Trailer 1 REG #" dataDxfId="107" totalsRowDxfId="106"/>
    <tableColumn id="14" xr3:uid="{7943CBD1-6F02-4E47-8798-3332567DE1FC}" name="Trailer 2 REG #" dataDxfId="105" totalsRowDxfId="104"/>
    <tableColumn id="15" xr3:uid="{DB0C1984-33F1-4633-B1E8-CC113AB6B9CA}" name="Manifest #" dataDxfId="103" totalsRowDxfId="102"/>
    <tableColumn id="16" xr3:uid="{D618C957-FFCC-44C2-9E67-3F94E5D1CE53}" name="Driver Name" dataDxfId="101" totalsRowDxfId="100"/>
    <tableColumn id="17" xr3:uid="{61836A0D-D22C-4EDB-87CC-E66B12A99845}" name="ID / Passport No." dataDxfId="99" totalsRowDxfId="98"/>
    <tableColumn id="18" xr3:uid="{518F7C06-6187-481D-8589-04EDD0E1A643}" name="Drivers Licence No." dataDxfId="97" totalsRowDxfId="96"/>
    <tableColumn id="19" xr3:uid="{D3C0BE45-83CC-4CB7-8833-161EE6994024}" name="Nationality" dataDxfId="95" totalsRowDxfId="94"/>
    <tableColumn id="20" xr3:uid="{18FB6BE4-D190-4EA6-A2C6-0FE43D87B80A}" name="Border of Exit" dataDxfId="93" totalsRowDxfId="92"/>
    <tableColumn id="21" xr3:uid="{F9299A71-9E14-442E-BE3A-E0B27CFA8324}" name="Border of Entry" dataDxfId="91" totalsRowDxfId="90"/>
    <tableColumn id="22" xr3:uid="{B3D568DE-45D3-4703-A803-BDB11FB7A1C0}" name="Transporter" dataDxfId="89" totalsRowDxfId="88"/>
    <tableColumn id="23" xr3:uid="{614CFF4F-1481-4EA8-9E1B-F9533A875BFF}" name="Sub - Contractor" dataDxfId="87" totalsRowDxfId="86"/>
    <tableColumn id="24" xr3:uid="{4BB33349-CB62-40DC-94DB-304872911FAE}" name="Truck Status" dataDxfId="85" totalsRowDxfId="84"/>
    <tableColumn id="39" xr3:uid="{1A70762D-0D82-49AF-A754-A003BF9225B3}" name="Current Location" dataDxfId="83" totalsRowDxfId="82"/>
    <tableColumn id="25" xr3:uid="{8AD47369-3245-446C-80F4-98B9479CAFFD}" name="COD / COC Status" dataDxfId="81" totalsRowDxfId="80"/>
    <tableColumn id="26" xr3:uid="{D9A91223-2A01-4940-B07A-5980F2E12C33}" name="Pre-Alert Send Date" dataDxfId="79" totalsRowDxfId="78"/>
    <tableColumn id="27" xr3:uid="{A2815CFC-CCF8-47EE-AFF3-4F27B871323D}" name="COD / COC Send Date" dataDxfId="77" totalsRowDxfId="76"/>
    <tableColumn id="28" xr3:uid="{A509DF13-E0A0-4813-A2EE-128C3982A68D}" name="Date: Zambia Arr" dataDxfId="75" totalsRowDxfId="74"/>
    <tableColumn id="29" xr3:uid="{C6AC56C2-880A-4334-A2DD-BF8948BF37FF}" name="Date: Zambia Dep" dataDxfId="73" totalsRowDxfId="72" dataCellStyle="Bad"/>
    <tableColumn id="30" xr3:uid="{7282BBE9-95AF-4FEF-90E0-9C36DCC9023C}" name="Date: DRC Arr" dataDxfId="71" totalsRowDxfId="70" dataCellStyle="Bad"/>
    <tableColumn id="31" xr3:uid="{BAA445DD-95D5-4160-B04F-8F0E7BE2D84C}" name="Date: DRC Dep" dataDxfId="69" totalsRowDxfId="68"/>
    <tableColumn id="32" xr3:uid="{239AE630-3F31-4BA6-9FB2-D08179EDDA65}" name="Date: Whisky Arr" dataDxfId="67" totalsRowDxfId="66"/>
    <tableColumn id="33" xr3:uid="{EFB61596-C613-4076-BEBD-6822F19CFF5B}" name="Date: Whisky Dep" dataDxfId="65" totalsRowDxfId="64"/>
    <tableColumn id="34" xr3:uid="{F071D428-7DB2-46A8-B0BA-72FC2B3696A4}" name="Date: Arrived Site" dataDxfId="63" totalsRowDxfId="62"/>
    <tableColumn id="35" xr3:uid="{972C5649-92F0-4798-B238-D23153D624F5}" name="Date: Offloaded" dataDxfId="61" totalsRowDxfId="60"/>
    <tableColumn id="36" xr3:uid="{61AACE2C-AE9D-49CF-A6FC-33EBD4604AEE}" name="Date: POD's Received" totalsRowFunction="count" dataDxfId="59" totalsRowDxfId="58"/>
    <tableColumn id="43" xr3:uid="{C8D2F115-0579-4EE8-B279-A64E2E150E30}" name="POD Status" dataDxfId="57" totalsRowDxfId="56"/>
  </tableColumns>
  <tableStyleInfo name="TableStyleLight1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27F13C8-3B58-45EA-94FE-D527BF721406}" name="Mail_List" displayName="Mail_List" ref="B2:B12" totalsRowShown="0" headerRowDxfId="55" dataDxfId="54">
  <autoFilter ref="B2:B12" xr:uid="{E27F13C8-3B58-45EA-94FE-D527BF721406}"/>
  <tableColumns count="1">
    <tableColumn id="1" xr3:uid="{0BE78667-966C-4FF2-9FBD-F239A15D3875}" name="Mailing List" dataDxfId="53"/>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5D54BE11-88BA-4FEF-8DB5-42A0FEF49E48}" name="IMail_List" displayName="IMail_List" ref="D2:D12" totalsRowShown="0" headerRowDxfId="52" dataDxfId="51">
  <autoFilter ref="D2:D12" xr:uid="{5D54BE11-88BA-4FEF-8DB5-42A0FEF49E48}"/>
  <tableColumns count="1">
    <tableColumn id="1" xr3:uid="{B91BC696-56F5-40F1-80B2-2A42CE21CB44}" name="Internal Mailing List (CC)" dataDxfId="50"/>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BA7D6190-62B7-43B6-A7B3-6BE34818D205}" name="Mail_Subject" displayName="Mail_Subject" ref="F2:F8" totalsRowShown="0" headerRowDxfId="49" dataDxfId="48">
  <autoFilter ref="F2:F8" xr:uid="{BA7D6190-62B7-43B6-A7B3-6BE34818D205}"/>
  <tableColumns count="1">
    <tableColumn id="1" xr3:uid="{0900ECAC-31FC-47DE-974E-16821785BD55}" name="Subject Details (Autofill)" dataDxfId="47"/>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1EC0CC2-BA35-4CEF-B426-FB5D577F7775}" name="Border_Comments" displayName="Border_Comments" ref="B2:I4" tableType="queryTable" totalsRowShown="0">
  <autoFilter ref="B2:I4" xr:uid="{C1EC0CC2-BA35-4CEF-B426-FB5D577F7775}"/>
  <tableColumns count="8">
    <tableColumn id="1" xr3:uid="{036AC359-DCF9-4E70-B242-14D75132325E}" uniqueName="1" name="Load #" queryTableFieldId="1"/>
    <tableColumn id="6" xr3:uid="{D26EAEA2-6385-4F47-A45F-BD91FC3BC285}" uniqueName="6" name="Supplier Invoice #" queryTableFieldId="6"/>
    <tableColumn id="23" xr3:uid="{1087C268-F0F9-4145-8AE3-837F4C71A8FC}" uniqueName="23" name="Days at Zambia Border" queryTableFieldId="23" dataDxfId="44"/>
    <tableColumn id="24" xr3:uid="{7D178F64-AA8C-4AF2-92D1-9BB185E9DB4A}" uniqueName="24" name="Days at DRC Border" queryTableFieldId="24" dataDxfId="43"/>
    <tableColumn id="25" xr3:uid="{C7444F05-D9F2-4ABC-8C83-4A1381B842A4}" uniqueName="25" name="Days at Whisky" queryTableFieldId="25" dataDxfId="42"/>
    <tableColumn id="2" xr3:uid="{13E10378-406C-45E3-84E6-6BEDB47061B8}" uniqueName="2" name="Days at Site" queryTableFieldId="28"/>
    <tableColumn id="26" xr3:uid="{266CD7E0-E1ED-49B1-8CD6-7BAE6D404956}" uniqueName="26" name="Border Clearing Delay" queryTableFieldId="26" dataDxfId="41"/>
    <tableColumn id="27" xr3:uid="{2DFAE11A-EA1D-43A3-BF8E-1CBF9BAD1122}" uniqueName="27" name="Whisky Clearing Delay" queryTableFieldId="27" dataDxfId="40"/>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09F7B03-826B-482E-B82F-DD9FBCF10701}" name="Group_Summary" displayName="Group_Summary" ref="B9:E10" tableType="queryTable" totalsRowShown="0">
  <autoFilter ref="B9:E10" xr:uid="{509F7B03-826B-482E-B82F-DD9FBCF10701}"/>
  <tableColumns count="4">
    <tableColumn id="1" xr3:uid="{6FD9255A-6874-4B4A-A190-CAAD47E79706}" uniqueName="1" name="Status" queryTableFieldId="6" dataDxfId="39"/>
    <tableColumn id="4" xr3:uid="{650A4A8C-78E7-461D-9D03-DAE9B72FF85A}" uniqueName="4" name="Location" queryTableFieldId="7" dataDxfId="38"/>
    <tableColumn id="2" xr3:uid="{F0E6DA52-EC31-46E9-A389-910BBF970E3F}" uniqueName="2" name="Trucks" queryTableFieldId="2"/>
    <tableColumn id="3" xr3:uid="{83E8FA5F-EF41-4BF7-BDA8-2C34C23E48C9}" uniqueName="3" name="Tonnage" queryTableFieldId="3"/>
  </tableColumns>
  <tableStyleInfo name="TableStyleLight1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32526BF-33C0-43B7-8180-693E5B04DECF}" name="Order_Summary" displayName="Order_Summary" ref="B2:C7" totalsRowShown="0">
  <autoFilter ref="B2:C7" xr:uid="{232526BF-33C0-43B7-8180-693E5B04DECF}"/>
  <tableColumns count="2">
    <tableColumn id="1" xr3:uid="{EDEFEF07-5169-4AC1-A658-83CAB64B8EE2}" name="Summary"/>
    <tableColumn id="2" xr3:uid="{670BF498-0FC6-4105-96CB-34B05D09CC91}" name="Quantity" dataDxfId="37"/>
  </tableColumns>
  <tableStyleInfo name="TableStyleLight1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740153A5-607C-46AE-8A4E-9A6EC3CF4627}" name="Table34" displayName="Table34" ref="B7:F157" totalsRowShown="0">
  <autoFilter ref="B7:F157" xr:uid="{740153A5-607C-46AE-8A4E-9A6EC3CF4627}"/>
  <tableColumns count="5">
    <tableColumn id="1" xr3:uid="{1B4CABD5-E5A4-44FB-B24E-9D4682E592D2}" name="Transporter">
      <calculatedColumnFormula>R2</calculatedColumnFormula>
    </tableColumn>
    <tableColumn id="2" xr3:uid="{7BA2BE61-E354-4229-803C-4B1BA42169B2}" name="Rate" dataDxfId="36"/>
    <tableColumn id="3" xr3:uid="{AFC31E44-982E-4942-90BA-CEA1F7B41C90}" name="Free Days - Border" dataDxfId="35"/>
    <tableColumn id="4" xr3:uid="{F489100F-7C9F-4392-9B75-F122BF710E82}" name="Free Days - Offload" dataDxfId="34"/>
    <tableColumn id="5" xr3:uid="{9F5FBFFB-CEEF-4411-B447-75BE7DDCDC51}" name="Active" dataDxfId="33">
      <calculatedColumnFormula array="1">IF(COUNTIF(Transporters_Used, Table34[[#This Row],[Transporter]]) &gt; 0, "Active", "Inactive")</calculatedColumnFormula>
    </tableColumn>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58B4156C-D79F-4C23-8EE7-CBE0A8D6038B}" name="Demurrage_Schedule" displayName="Demurrage_Schedule" ref="H7:M9" tableType="queryTable" insertRow="1" totalsRowCount="1">
  <autoFilter ref="H7:M8" xr:uid="{58B4156C-D79F-4C23-8EE7-CBE0A8D6038B}"/>
  <tableColumns count="6">
    <tableColumn id="1" xr3:uid="{04A5B650-0B6B-4399-BF35-778401133DDE}" uniqueName="1" name="Load #" queryTableFieldId="1" dataDxfId="32" totalsRowDxfId="31"/>
    <tableColumn id="2" xr3:uid="{30C714B1-9F91-49BB-83DC-4147B4B6F656}" uniqueName="2" name="Supplier Invoice #" queryTableFieldId="2" dataDxfId="30" totalsRowDxfId="29"/>
    <tableColumn id="3" xr3:uid="{70654668-2408-4865-A9B6-511F59A8C0AA}" uniqueName="3" name="Transporter" queryTableFieldId="3"/>
    <tableColumn id="4" xr3:uid="{16426DC2-0F4E-44D4-8956-D78ED541794C}" uniqueName="4" name="Demurrage Days - Border" queryTableFieldId="4" dataDxfId="28" totalsRowDxfId="27"/>
    <tableColumn id="5" xr3:uid="{6A54E6A1-B819-4CFE-86B0-3A1F25E89153}" uniqueName="5" name="Demurrage Days - Offload" queryTableFieldId="5" dataDxfId="26" totalsRowDxfId="25"/>
    <tableColumn id="6" xr3:uid="{FCE0B8C4-29E9-4FB0-83A0-F52B9DC90144}" uniqueName="6" name="Demurrage" totalsRowFunction="sum" queryTableFieldId="6" dataDxfId="24" totalsRowDxfId="23"/>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5A3D131-8E41-4E68-BC61-75D09A9C827B}" name="Table3" displayName="Table3" ref="L3:L13" totalsRowShown="0" headerRowDxfId="22" dataDxfId="21">
  <autoFilter ref="L3:L13" xr:uid="{B5A3D131-8E41-4E68-BC61-75D09A9C827B}"/>
  <tableColumns count="1">
    <tableColumn id="1" xr3:uid="{57598E90-B12C-46CD-BA32-89C2CB9EDACF}" name="Loading Point" dataDxfId="20"/>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F993A35-165F-4587-B03B-16BC1CB1CFD7}" name="Table4" displayName="Table4" ref="N3:N13" totalsRowShown="0" dataDxfId="19">
  <autoFilter ref="N3:N13" xr:uid="{2F993A35-165F-4587-B03B-16BC1CB1CFD7}"/>
  <tableColumns count="1">
    <tableColumn id="1" xr3:uid="{47ADAFD9-EFA2-4706-BE65-DE948071F436}" name="Offloading Point" dataDxfId="18"/>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61CD83-BC02-44DD-AB2B-1DBB4B4FD4E8}" name="Table7" displayName="Table7" ref="P3:P9" totalsRowShown="0">
  <autoFilter ref="P3:P9" xr:uid="{5C61CD83-BC02-44DD-AB2B-1DBB4B4FD4E8}"/>
  <tableColumns count="1">
    <tableColumn id="1" xr3:uid="{CA4DC2B0-4726-455F-BF0D-78A72F8B039A}" name="Border of Exit"/>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B116ECD-B394-4C5B-913B-B139913176BE}" name="Table8" displayName="Table8" ref="R3:R6" totalsRowShown="0">
  <autoFilter ref="R3:R6" xr:uid="{DB116ECD-B394-4C5B-913B-B139913176BE}"/>
  <tableColumns count="1">
    <tableColumn id="1" xr3:uid="{15007C52-F872-443B-9BD0-238B5AA087FF}" name="Border of Entry"/>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F4E4F0D-0E85-458C-8B70-BFE5E40D7709}" name="Table16" displayName="Table16" ref="B3:C12" totalsRowShown="0">
  <autoFilter ref="B3:C12" xr:uid="{6F4E4F0D-0E85-458C-8B70-BFE5E40D7709}"/>
  <tableColumns count="2">
    <tableColumn id="1" xr3:uid="{36743A7D-242D-45A9-B1DC-774C7E8E96B5}" name="COD/COC Status"/>
    <tableColumn id="2" xr3:uid="{23C97449-942F-49D5-8DFF-A1C5F3F84612}" name="Index"/>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DF9F546-38F2-4E1B-9630-D41809199FDF}" name="Table17" displayName="Table17" ref="E3:E10" totalsRowShown="0" dataDxfId="17">
  <autoFilter ref="E3:E10" xr:uid="{BDF9F546-38F2-4E1B-9630-D41809199FDF}"/>
  <tableColumns count="1">
    <tableColumn id="1" xr3:uid="{DDE33A07-374D-4B2D-81AA-E121B366970D}" name="IR Status" dataDxfId="16"/>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322BFEF-BBB7-4455-88A7-7A3CF9F3CD12}" name="Table18" displayName="Table18" ref="I3:J11" totalsRowShown="0">
  <autoFilter ref="I3:J11" xr:uid="{9322BFEF-BBB7-4455-88A7-7A3CF9F3CD12}"/>
  <tableColumns count="2">
    <tableColumn id="1" xr3:uid="{F08A6804-A5B6-445D-AA6B-2008FC34ED55}" name="Status"/>
    <tableColumn id="2" xr3:uid="{E2ADE251-6AA0-4999-A323-44994283666F}" name="Index"/>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E3DD8FB-63A0-4934-8A2F-8FC6A42EB794}" name="Table19" displayName="Table19" ref="T3:U37" totalsRowShown="0" dataDxfId="15" tableBorderDxfId="14">
  <autoFilter ref="T3:U37" xr:uid="{7E3DD8FB-63A0-4934-8A2F-8FC6A42EB794}"/>
  <tableColumns count="2">
    <tableColumn id="1" xr3:uid="{33EAF781-4436-4856-9F34-1BB15E11DC13}" name="Route" dataDxfId="13"/>
    <tableColumn id="2" xr3:uid="{23BC2578-0948-482F-A06A-0FDDCBB1F69E}" name="Column1" dataDxfId="12"/>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262C7BC-1E3E-4739-B565-F5085327B565}" name="POD_Status" displayName="POD_Status" ref="G3:G5" totalsRowShown="0">
  <autoFilter ref="G3:G5" xr:uid="{C262C7BC-1E3E-4739-B565-F5085327B565}"/>
  <tableColumns count="1">
    <tableColumn id="1" xr3:uid="{0890B39B-3446-4B54-984D-136F1D28363B}" name="POD Status"/>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3E9AA58-CD3B-4E82-8F1A-E64B2C722195}" name="transporter_1" displayName="transporter_1" ref="W3:W80" tableType="queryTable" totalsRowShown="0">
  <autoFilter ref="W3:W80" xr:uid="{D3E9AA58-CD3B-4E82-8F1A-E64B2C722195}"/>
  <tableColumns count="1">
    <tableColumn id="1" xr3:uid="{6ABC913E-BDEB-4F4A-8C0D-75A85CC5A6F1}" uniqueName="1" name="Transporter" queryTableFieldId="1"/>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7DDC55F-EB5D-4954-826B-3C2E3E7C4214}" name="sub_contractor_1" displayName="sub_contractor_1" ref="Y3:Y99" tableType="queryTable" totalsRowShown="0">
  <autoFilter ref="Y3:Y99" xr:uid="{B7DDC55F-EB5D-4954-826B-3C2E3E7C4214}"/>
  <tableColumns count="1">
    <tableColumn id="1" xr3:uid="{78C127C0-B849-43CF-8021-C4F8497C330D}" uniqueName="1" name="Sub - Contractor" queryTableFieldId="1"/>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1C0B6EBF-F753-4940-9D1A-CEF66B63EF8B}" name="nationality_1" displayName="nationality_1" ref="AA3:AA10" tableType="queryTable" totalsRowShown="0">
  <autoFilter ref="AA3:AA10" xr:uid="{1C0B6EBF-F753-4940-9D1A-CEF66B63EF8B}"/>
  <tableColumns count="1">
    <tableColumn id="1" xr3:uid="{EFBB3572-6D43-40F0-9FDD-1BDEEEE653B8}" uniqueName="1" name="Nationality" queryTableFieldId="1"/>
  </tableColumns>
  <tableStyleInfo name="TableStyleMedium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59F6AB27-4A4F-49A3-AAA8-F3EBFBC90B4B}" name="customer_1" displayName="customer_1" ref="AC3:AC95" tableType="queryTable" totalsRowShown="0">
  <autoFilter ref="AC3:AC95" xr:uid="{59F6AB27-4A4F-49A3-AAA8-F3EBFBC90B4B}"/>
  <tableColumns count="1">
    <tableColumn id="1" xr3:uid="{D0EBD0FD-C18C-4BE5-A6F1-CE724AC7D703}" uniqueName="1" name="Customer" queryTableFieldId="1"/>
  </tableColumns>
  <tableStyleInfo name="TableStyleMedium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ACB65D5-38BA-46A3-82C1-1C3A1CF8C1D7}" name="product_1" displayName="product_1" ref="AE3:AE93" tableType="queryTable" totalsRowShown="0">
  <autoFilter ref="AE3:AE93" xr:uid="{9ACB65D5-38BA-46A3-82C1-1C3A1CF8C1D7}"/>
  <tableColumns count="1">
    <tableColumn id="1" xr3:uid="{2C954621-9656-4E38-908E-91354F9CDAFB}" uniqueName="1" name="Product" queryTableFieldId="1"/>
  </tableColumns>
  <tableStyleInfo name="TableStyleMedium7"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1A62EAD-F1FD-48A6-A871-9DDE43D4DF2B}" name="clearing_agent_1" displayName="clearing_agent_1" ref="AG3:AG40" tableType="queryTable" totalsRowShown="0">
  <autoFilter ref="AG3:AG40" xr:uid="{E1A62EAD-F1FD-48A6-A871-9DDE43D4DF2B}"/>
  <tableColumns count="1">
    <tableColumn id="1" xr3:uid="{14A7E7CE-98A8-4995-AAD8-7BB263FFDAF9}" uniqueName="1" name="Clearing Agent" queryTableFieldId="1"/>
  </tableColumns>
  <tableStyleInfo name="TableStyleMedium7"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187C0AFC-1657-4F18-BEF2-4652B8D270C2}" name="mine_1" displayName="mine_1" ref="AI3:AI85" tableType="queryTable" totalsRowShown="0">
  <autoFilter ref="AI3:AI85" xr:uid="{187C0AFC-1657-4F18-BEF2-4652B8D270C2}"/>
  <tableColumns count="1">
    <tableColumn id="1" xr3:uid="{D1848C89-1C43-4D11-A15A-1E212BDD5BC8}" uniqueName="1" name="Mine" queryTableFieldId="1"/>
  </tableColumns>
  <tableStyleInfo name="TableStyleMedium7"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3D87473-EBFB-4ECE-A96D-49B3FCB6A9EB}" name="Header_Options" displayName="Header_Options" ref="AK3:AK74" tableType="queryTable" totalsRowShown="0">
  <autoFilter ref="AK3:AK74" xr:uid="{13D87473-EBFB-4ECE-A96D-49B3FCB6A9EB}"/>
  <tableColumns count="1">
    <tableColumn id="1" xr3:uid="{64D13733-BD7C-41F4-A1D1-513A15796150}" uniqueName="1" name="Header Options" queryTableFieldId="1"/>
  </tableColumns>
  <tableStyleInfo name="TableStyleMedium7"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282CE1-F3C9-425F-93E1-3C1B36DB4F18}" name="Table2" displayName="Table2" ref="A1:J2" totalsRowShown="0" headerRowDxfId="11" dataDxfId="10">
  <autoFilter ref="A1:J2" xr:uid="{E9282CE1-F3C9-425F-93E1-3C1B36DB4F18}"/>
  <tableColumns count="10">
    <tableColumn id="1" xr3:uid="{7B807D56-73E6-43CD-A093-CDCFCCC3DA6E}" name="Contract Number:" dataDxfId="9">
      <calculatedColumnFormula>'Tracking Report'!G3</calculatedColumnFormula>
    </tableColumn>
    <tableColumn id="2" xr3:uid="{4199161D-109E-4580-882C-201B72121E74}" name="Customer: " dataDxfId="8">
      <calculatedColumnFormula>'Tracking Report'!G4</calculatedColumnFormula>
    </tableColumn>
    <tableColumn id="3" xr3:uid="{11905CDB-BAB3-41B3-952E-6C7BAA024481}" name="Product:" dataDxfId="7">
      <calculatedColumnFormula>'Tracking Report'!G5</calculatedColumnFormula>
    </tableColumn>
    <tableColumn id="4" xr3:uid="{AFC0D5AD-80E3-4D3B-AFF6-9D6F4DA93640}" name="Clearing Agent:" dataDxfId="6">
      <calculatedColumnFormula>'Tracking Report'!G6</calculatedColumnFormula>
    </tableColumn>
    <tableColumn id="5" xr3:uid="{D89196C2-B553-41A9-AE74-97A6BA7FE300}" name="Mine:" dataDxfId="5">
      <calculatedColumnFormula>'Tracking Report'!G7</calculatedColumnFormula>
    </tableColumn>
    <tableColumn id="6" xr3:uid="{9DE1204A-1CA8-4578-8483-59B110EB1C7F}" name="Order Quantity:" dataDxfId="4">
      <calculatedColumnFormula>'Tracking Report'!I3</calculatedColumnFormula>
    </tableColumn>
    <tableColumn id="7" xr3:uid="{70AEB841-F7A3-424D-AEDC-7C9A0232D64F}" name="Quantity Delivered:" dataDxfId="3">
      <calculatedColumnFormula>'Tracking Report'!I4</calculatedColumnFormula>
    </tableColumn>
    <tableColumn id="8" xr3:uid="{63776BAD-C175-4D8A-A07F-0A7A80A620B1}" name="Quantity En Route:" dataDxfId="2">
      <calculatedColumnFormula>'Tracking Report'!I5</calculatedColumnFormula>
    </tableColumn>
    <tableColumn id="9" xr3:uid="{72582D08-AD2B-42F3-8B61-603EF99C77BF}" name="Quantity Planned for Loading:" dataDxfId="1">
      <calculatedColumnFormula>'Tracking Report'!I6</calculatedColumnFormula>
    </tableColumn>
    <tableColumn id="10" xr3:uid="{E2112420-E6D8-4879-BD72-79A436839397}" name="Total Quantity Outstanding:" dataDxfId="0">
      <calculatedColumnFormula>'Tracking Report'!I7</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table" Target="../tables/table1.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2.vml"/><Relationship Id="rId1" Type="http://schemas.openxmlformats.org/officeDocument/2006/relationships/drawing" Target="../drawings/drawing2.xml"/><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3.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9.xml"/></Relationships>
</file>

<file path=xl/worksheets/_rels/sheet6.xml.rels><?xml version="1.0" encoding="UTF-8" standalone="yes"?>
<Relationships xmlns="http://schemas.openxmlformats.org/package/2006/relationships"><Relationship Id="rId8" Type="http://schemas.openxmlformats.org/officeDocument/2006/relationships/table" Target="../tables/table17.xml"/><Relationship Id="rId13" Type="http://schemas.openxmlformats.org/officeDocument/2006/relationships/table" Target="../tables/table22.xml"/><Relationship Id="rId3" Type="http://schemas.openxmlformats.org/officeDocument/2006/relationships/table" Target="../tables/table12.xml"/><Relationship Id="rId7" Type="http://schemas.openxmlformats.org/officeDocument/2006/relationships/table" Target="../tables/table16.xml"/><Relationship Id="rId12" Type="http://schemas.openxmlformats.org/officeDocument/2006/relationships/table" Target="../tables/table21.xml"/><Relationship Id="rId17" Type="http://schemas.openxmlformats.org/officeDocument/2006/relationships/table" Target="../tables/table26.xml"/><Relationship Id="rId2" Type="http://schemas.openxmlformats.org/officeDocument/2006/relationships/table" Target="../tables/table11.xml"/><Relationship Id="rId16" Type="http://schemas.openxmlformats.org/officeDocument/2006/relationships/table" Target="../tables/table25.xml"/><Relationship Id="rId1" Type="http://schemas.openxmlformats.org/officeDocument/2006/relationships/table" Target="../tables/table10.xml"/><Relationship Id="rId6" Type="http://schemas.openxmlformats.org/officeDocument/2006/relationships/table" Target="../tables/table15.xml"/><Relationship Id="rId11" Type="http://schemas.openxmlformats.org/officeDocument/2006/relationships/table" Target="../tables/table20.xml"/><Relationship Id="rId5" Type="http://schemas.openxmlformats.org/officeDocument/2006/relationships/table" Target="../tables/table14.xml"/><Relationship Id="rId15" Type="http://schemas.openxmlformats.org/officeDocument/2006/relationships/table" Target="../tables/table24.xml"/><Relationship Id="rId10" Type="http://schemas.openxmlformats.org/officeDocument/2006/relationships/table" Target="../tables/table19.xml"/><Relationship Id="rId4" Type="http://schemas.openxmlformats.org/officeDocument/2006/relationships/table" Target="../tables/table13.xml"/><Relationship Id="rId9" Type="http://schemas.openxmlformats.org/officeDocument/2006/relationships/table" Target="../tables/table18.xml"/><Relationship Id="rId14"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6D17C-0814-4B4F-A733-1F99DFA6DD72}">
  <sheetPr codeName="Sheet3"/>
  <dimension ref="B1:AO14"/>
  <sheetViews>
    <sheetView showGridLines="0" tabSelected="1" workbookViewId="0">
      <selection activeCell="B10" sqref="B10:AO10"/>
    </sheetView>
  </sheetViews>
  <sheetFormatPr defaultColWidth="8.7109375" defaultRowHeight="15" x14ac:dyDescent="0.25"/>
  <cols>
    <col min="1" max="1" width="1.140625" style="12" customWidth="1"/>
    <col min="2" max="2" width="12.5703125" style="12" customWidth="1"/>
    <col min="3" max="3" width="10.7109375" style="12" customWidth="1"/>
    <col min="4" max="4" width="11.140625" style="12" bestFit="1" customWidth="1"/>
    <col min="5" max="5" width="17.140625" style="12" bestFit="1" customWidth="1"/>
    <col min="6" max="6" width="20.7109375" style="12" customWidth="1"/>
    <col min="7" max="7" width="27.42578125" style="12" customWidth="1"/>
    <col min="8" max="8" width="20.85546875" style="12" bestFit="1" customWidth="1"/>
    <col min="9" max="9" width="19.28515625" style="12" bestFit="1" customWidth="1"/>
    <col min="10" max="10" width="17.140625" style="12" customWidth="1"/>
    <col min="11" max="11" width="16.42578125" style="12" bestFit="1" customWidth="1"/>
    <col min="12" max="12" width="19.5703125" style="12" customWidth="1"/>
    <col min="13" max="13" width="23.5703125" style="12" customWidth="1"/>
    <col min="14" max="14" width="22.28515625" style="12" customWidth="1"/>
    <col min="15" max="15" width="15.28515625" style="12" bestFit="1" customWidth="1"/>
    <col min="16" max="16" width="15" style="12" bestFit="1" customWidth="1"/>
    <col min="17" max="17" width="16.140625" style="12" customWidth="1"/>
    <col min="18" max="18" width="15.7109375" style="12" bestFit="1" customWidth="1"/>
    <col min="19" max="19" width="28.28515625" style="12" customWidth="1"/>
    <col min="20" max="20" width="18.28515625" style="12" bestFit="1" customWidth="1"/>
    <col min="21" max="21" width="15" style="12" bestFit="1" customWidth="1"/>
    <col min="22" max="22" width="16.7109375" style="12" bestFit="1" customWidth="1"/>
    <col min="23" max="23" width="20.42578125" style="12" bestFit="1" customWidth="1"/>
    <col min="24" max="24" width="19" style="12" bestFit="1" customWidth="1"/>
    <col min="25" max="25" width="15.42578125" style="12" bestFit="1" customWidth="1"/>
    <col min="26" max="26" width="17.7109375" style="12" bestFit="1" customWidth="1"/>
    <col min="27" max="27" width="19" style="12" bestFit="1" customWidth="1"/>
    <col min="28" max="28" width="15.85546875" style="12" bestFit="1" customWidth="1"/>
    <col min="29" max="29" width="19.85546875" style="12" bestFit="1" customWidth="1"/>
    <col min="30" max="30" width="16.140625" style="12" bestFit="1" customWidth="1"/>
    <col min="31" max="31" width="20.28515625" style="12" bestFit="1" customWidth="1"/>
    <col min="32" max="32" width="20.85546875" style="12" bestFit="1" customWidth="1"/>
    <col min="33" max="33" width="23.42578125" style="12" bestFit="1" customWidth="1"/>
    <col min="34" max="34" width="24.5703125" style="12" bestFit="1" customWidth="1"/>
    <col min="35" max="35" width="20.42578125" style="12" bestFit="1" customWidth="1"/>
    <col min="36" max="36" width="21.28515625" style="12" bestFit="1" customWidth="1"/>
    <col min="37" max="37" width="17.42578125" style="12" bestFit="1" customWidth="1"/>
    <col min="38" max="38" width="18.42578125" style="12" bestFit="1" customWidth="1"/>
    <col min="39" max="39" width="20.5703125" style="12" bestFit="1" customWidth="1"/>
    <col min="40" max="40" width="21.42578125" style="12" bestFit="1" customWidth="1"/>
    <col min="41" max="41" width="21.28515625" style="12" bestFit="1" customWidth="1"/>
    <col min="42" max="42" width="19.85546875" style="12" bestFit="1" customWidth="1"/>
    <col min="43" max="43" width="16" style="12" bestFit="1" customWidth="1"/>
    <col min="44" max="44" width="11" style="12" bestFit="1" customWidth="1"/>
    <col min="45" max="16384" width="8.7109375" style="12"/>
  </cols>
  <sheetData>
    <row r="1" spans="2:41" ht="15.75" thickBot="1" x14ac:dyDescent="0.3"/>
    <row r="2" spans="2:41" x14ac:dyDescent="0.25">
      <c r="B2" s="19"/>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1"/>
    </row>
    <row r="3" spans="2:41" x14ac:dyDescent="0.25">
      <c r="B3" s="18"/>
      <c r="F3" s="8" t="s">
        <v>24</v>
      </c>
      <c r="G3" s="31"/>
      <c r="H3" s="8" t="s">
        <v>25</v>
      </c>
      <c r="I3" s="16"/>
      <c r="N3" s="59"/>
      <c r="O3" s="59"/>
      <c r="AM3" s="17"/>
    </row>
    <row r="4" spans="2:41" x14ac:dyDescent="0.25">
      <c r="B4" s="18"/>
      <c r="F4" s="8" t="s">
        <v>49</v>
      </c>
      <c r="G4" s="31"/>
      <c r="H4" s="8" t="s">
        <v>30</v>
      </c>
      <c r="I4" s="5">
        <f>SUMIF(Table1[Date: Offloaded],"&lt;&gt;",Table1[Tonnage Dispatched])</f>
        <v>0</v>
      </c>
      <c r="N4" s="59"/>
      <c r="O4" s="59"/>
      <c r="AM4" s="17"/>
    </row>
    <row r="5" spans="2:41" x14ac:dyDescent="0.25">
      <c r="B5" s="18"/>
      <c r="F5" s="8" t="s">
        <v>26</v>
      </c>
      <c r="G5" s="31"/>
      <c r="H5" s="8" t="s">
        <v>31</v>
      </c>
      <c r="I5" s="5">
        <f>SUMIFS(Table1[Tonnage Dispatched],Table1[Date: Dispatched],"&lt;&gt;",Table1[Date: Offloaded],"=")</f>
        <v>0</v>
      </c>
      <c r="N5" s="59"/>
      <c r="O5" s="59"/>
      <c r="AM5" s="17"/>
    </row>
    <row r="6" spans="2:41" x14ac:dyDescent="0.25">
      <c r="B6" s="18"/>
      <c r="F6" s="8" t="s">
        <v>27</v>
      </c>
      <c r="G6" s="31"/>
      <c r="H6" s="8" t="s">
        <v>51</v>
      </c>
      <c r="I6" s="5">
        <f>SUMIFS(Table1[Tonnage Dispatched],Table1[Date: Loaded],"=",Table1[Date: Dispatched],"=")+(SUMIFS(Table1[Tonnage Dispatched],Table1[Date: Loaded],"&lt;&gt;",Table1[Date: Dispatched],"="))</f>
        <v>0</v>
      </c>
      <c r="N6" s="59"/>
      <c r="O6" s="59"/>
      <c r="AM6" s="17"/>
    </row>
    <row r="7" spans="2:41" x14ac:dyDescent="0.25">
      <c r="B7" s="18"/>
      <c r="F7" s="8" t="s">
        <v>28</v>
      </c>
      <c r="G7" s="31"/>
      <c r="H7" s="8" t="s">
        <v>52</v>
      </c>
      <c r="I7" s="5">
        <f>I3-SUM(I4:I6)</f>
        <v>0</v>
      </c>
      <c r="AM7" s="17"/>
    </row>
    <row r="8" spans="2:41" ht="15.75" thickBot="1" x14ac:dyDescent="0.3">
      <c r="B8" s="13"/>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5"/>
    </row>
    <row r="9" spans="2:41" ht="15.75" thickBot="1" x14ac:dyDescent="0.3"/>
    <row r="10" spans="2:41" ht="30.75" thickBot="1" x14ac:dyDescent="0.3">
      <c r="B10" s="9" t="s">
        <v>0</v>
      </c>
      <c r="C10" s="25" t="s">
        <v>1</v>
      </c>
      <c r="D10" s="10" t="s">
        <v>2</v>
      </c>
      <c r="E10" s="10" t="s">
        <v>34</v>
      </c>
      <c r="F10" s="10" t="s">
        <v>35</v>
      </c>
      <c r="G10" s="10" t="s">
        <v>3</v>
      </c>
      <c r="H10" s="10" t="s">
        <v>4</v>
      </c>
      <c r="I10" s="10" t="s">
        <v>5</v>
      </c>
      <c r="J10" s="10" t="s">
        <v>6</v>
      </c>
      <c r="K10" s="10" t="s">
        <v>60</v>
      </c>
      <c r="L10" s="10" t="s">
        <v>50</v>
      </c>
      <c r="M10" s="10" t="s">
        <v>7</v>
      </c>
      <c r="N10" s="10" t="s">
        <v>64</v>
      </c>
      <c r="O10" s="10" t="s">
        <v>8</v>
      </c>
      <c r="P10" s="10" t="s">
        <v>9</v>
      </c>
      <c r="Q10" s="10" t="s">
        <v>10</v>
      </c>
      <c r="R10" s="10" t="s">
        <v>11</v>
      </c>
      <c r="S10" s="10" t="s">
        <v>12</v>
      </c>
      <c r="T10" s="10" t="s">
        <v>13</v>
      </c>
      <c r="U10" s="10" t="s">
        <v>63</v>
      </c>
      <c r="V10" s="10" t="s">
        <v>14</v>
      </c>
      <c r="W10" s="10" t="s">
        <v>74</v>
      </c>
      <c r="X10" s="10" t="s">
        <v>15</v>
      </c>
      <c r="Y10" s="10" t="s">
        <v>16</v>
      </c>
      <c r="Z10" s="10" t="s">
        <v>17</v>
      </c>
      <c r="AA10" s="10" t="s">
        <v>76</v>
      </c>
      <c r="AB10" s="10" t="s">
        <v>77</v>
      </c>
      <c r="AC10" s="10" t="s">
        <v>59</v>
      </c>
      <c r="AD10" s="10" t="s">
        <v>18</v>
      </c>
      <c r="AE10" s="10" t="s">
        <v>19</v>
      </c>
      <c r="AF10" s="10" t="s">
        <v>53</v>
      </c>
      <c r="AG10" s="10" t="s">
        <v>54</v>
      </c>
      <c r="AH10" s="10" t="s">
        <v>55</v>
      </c>
      <c r="AI10" s="10" t="s">
        <v>56</v>
      </c>
      <c r="AJ10" s="10" t="s">
        <v>57</v>
      </c>
      <c r="AK10" s="10" t="s">
        <v>58</v>
      </c>
      <c r="AL10" s="10" t="s">
        <v>20</v>
      </c>
      <c r="AM10" s="26" t="s">
        <v>21</v>
      </c>
      <c r="AN10" s="11" t="s">
        <v>22</v>
      </c>
      <c r="AO10" s="27" t="s">
        <v>528</v>
      </c>
    </row>
    <row r="11" spans="2:41" x14ac:dyDescent="0.25">
      <c r="B11" s="48"/>
      <c r="C11" s="48"/>
      <c r="D11" s="37">
        <v>1</v>
      </c>
      <c r="E11" s="36"/>
      <c r="F11" s="36"/>
      <c r="G11" s="48"/>
      <c r="H11" s="48"/>
      <c r="I11" s="38"/>
      <c r="J11" s="37"/>
      <c r="K11" s="39"/>
      <c r="L11" s="49"/>
      <c r="M11" s="50"/>
      <c r="N11" s="48"/>
      <c r="O11" s="1"/>
      <c r="P11" s="48"/>
      <c r="Q11" s="48"/>
      <c r="R11" s="48"/>
      <c r="S11" s="48"/>
      <c r="T11" s="53"/>
      <c r="U11" s="53"/>
      <c r="V11" s="48"/>
      <c r="W11" s="53"/>
      <c r="X11" s="48"/>
      <c r="Y11" s="55"/>
      <c r="Z11" s="56"/>
      <c r="AA11" s="57"/>
      <c r="AB11" s="57"/>
      <c r="AC11" s="56"/>
      <c r="AD11" s="45"/>
      <c r="AE11" s="45"/>
      <c r="AF11" s="36"/>
      <c r="AG11" s="36"/>
      <c r="AH11" s="36"/>
      <c r="AI11" s="36"/>
      <c r="AJ11" s="36"/>
      <c r="AK11" s="36"/>
      <c r="AL11" s="36"/>
      <c r="AM11" s="36"/>
      <c r="AN11" s="46"/>
      <c r="AO11" s="58"/>
    </row>
    <row r="12" spans="2:41" x14ac:dyDescent="0.25">
      <c r="B12" s="48"/>
      <c r="C12" s="48"/>
      <c r="D12" s="37">
        <v>2</v>
      </c>
      <c r="E12" s="46"/>
      <c r="F12" s="46"/>
      <c r="G12" s="48"/>
      <c r="H12" s="48"/>
      <c r="I12" s="38"/>
      <c r="J12" s="37"/>
      <c r="K12" s="40"/>
      <c r="L12" s="49"/>
      <c r="M12" s="50"/>
      <c r="N12" s="51"/>
      <c r="O12" s="1"/>
      <c r="P12" s="52"/>
      <c r="Q12" s="48"/>
      <c r="R12" s="52"/>
      <c r="S12" s="52"/>
      <c r="T12" s="54"/>
      <c r="U12" s="54"/>
      <c r="V12" s="48"/>
      <c r="W12" s="53"/>
      <c r="X12" s="48"/>
      <c r="Y12" s="55"/>
      <c r="Z12" s="56"/>
      <c r="AA12" s="57"/>
      <c r="AB12" s="57"/>
      <c r="AC12" s="56"/>
      <c r="AD12" s="45"/>
      <c r="AE12" s="45"/>
      <c r="AF12" s="47"/>
      <c r="AG12" s="47"/>
      <c r="AH12" s="47"/>
      <c r="AI12" s="47"/>
      <c r="AJ12" s="47"/>
      <c r="AK12" s="47"/>
      <c r="AL12" s="36"/>
      <c r="AM12" s="36"/>
      <c r="AN12" s="46"/>
      <c r="AO12" s="58"/>
    </row>
    <row r="13" spans="2:41" x14ac:dyDescent="0.25">
      <c r="B13" s="33" t="s">
        <v>23</v>
      </c>
      <c r="C13" s="33"/>
      <c r="D13" s="33">
        <f>SUBTOTAL(102,Table1[Load '#])</f>
        <v>2</v>
      </c>
      <c r="E13" s="33"/>
      <c r="F13" s="33"/>
      <c r="G13" s="33"/>
      <c r="H13" s="33"/>
      <c r="I13" s="33">
        <f>SUBTOTAL(103,Table1[Supplier Invoice '#])</f>
        <v>0</v>
      </c>
      <c r="J13" s="33">
        <f>SUBTOTAL(109,Table1[No. of Items])</f>
        <v>0</v>
      </c>
      <c r="K13" s="34">
        <f>SUBTOTAL(109,Table1[Tonnage Dispatched])</f>
        <v>0</v>
      </c>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f>SUBTOTAL(103,Table1[Date: POD''s Received])</f>
        <v>0</v>
      </c>
      <c r="AO13" s="35"/>
    </row>
    <row r="14" spans="2:41" x14ac:dyDescent="0.25">
      <c r="H14" s="28"/>
    </row>
  </sheetData>
  <sheetProtection sort="0" autoFilter="0" pivotTables="0"/>
  <mergeCells count="1">
    <mergeCell ref="N3:O6"/>
  </mergeCells>
  <phoneticPr fontId="7" type="noConversion"/>
  <conditionalFormatting sqref="AK11:AK12">
    <cfRule type="expression" dxfId="152" priority="8">
      <formula xml:space="preserve"> $AK11 &lt; $AJ11</formula>
    </cfRule>
  </conditionalFormatting>
  <conditionalFormatting sqref="I11:I12">
    <cfRule type="duplicateValues" dxfId="151" priority="42"/>
    <cfRule type="duplicateValues" dxfId="150" priority="43"/>
  </conditionalFormatting>
  <conditionalFormatting sqref="P11:P12">
    <cfRule type="duplicateValues" dxfId="149" priority="44"/>
  </conditionalFormatting>
  <conditionalFormatting sqref="R11:S12">
    <cfRule type="duplicateValues" dxfId="148" priority="45"/>
  </conditionalFormatting>
  <conditionalFormatting sqref="T11:U12">
    <cfRule type="duplicateValues" dxfId="147" priority="46"/>
  </conditionalFormatting>
  <conditionalFormatting sqref="Q11:Q12">
    <cfRule type="expression" dxfId="146" priority="53">
      <formula>AND(COUNTIF(Q:Q,$R11)&gt;1,LEN($R11)&gt;3)</formula>
    </cfRule>
  </conditionalFormatting>
  <conditionalFormatting sqref="AF11:AF12">
    <cfRule type="expression" dxfId="145" priority="54">
      <formula xml:space="preserve"> $AF11 &lt; $F11</formula>
    </cfRule>
  </conditionalFormatting>
  <conditionalFormatting sqref="AG11:AG12">
    <cfRule type="expression" dxfId="144" priority="4">
      <formula xml:space="preserve"> $AF11 &lt; $F11</formula>
    </cfRule>
  </conditionalFormatting>
  <conditionalFormatting sqref="AH11:AH12">
    <cfRule type="expression" dxfId="143" priority="3">
      <formula xml:space="preserve"> $AF11 &lt; $F11</formula>
    </cfRule>
  </conditionalFormatting>
  <conditionalFormatting sqref="AI11:AI12">
    <cfRule type="expression" dxfId="142" priority="2">
      <formula xml:space="preserve"> $AF11 &lt; $F11</formula>
    </cfRule>
  </conditionalFormatting>
  <conditionalFormatting sqref="AJ11:AJ12">
    <cfRule type="expression" dxfId="141" priority="1">
      <formula xml:space="preserve"> $AF11 &lt; $F11</formula>
    </cfRule>
  </conditionalFormatting>
  <dataValidations count="17">
    <dataValidation type="date" allowBlank="1" showInputMessage="1" showErrorMessage="1" sqref="AL11:AN12" xr:uid="{F51CC351-8883-456D-A305-BF4B239E6EDE}">
      <formula1>45292</formula1>
      <formula2>48945</formula2>
    </dataValidation>
    <dataValidation type="list" allowBlank="1" showInputMessage="1" showErrorMessage="1" error="Please Check the Spelling on your Entry_x000a__x000a_Please Check for Whitespace_x000a__x000a_If the Entry is New Please contact Data Controller to add to list" sqref="G4" xr:uid="{A28BD4E2-836E-4F47-BE86-56445613BD12}">
      <formula1>customer</formula1>
    </dataValidation>
    <dataValidation type="list" allowBlank="1" showInputMessage="1" showErrorMessage="1" errorTitle="Error" error="Please Check the Spelling on your Entry_x000a__x000a_Please Check for Whitespace_x000a__x000a_If the Entry is New Please contact Data Controller to add to list" sqref="G5" xr:uid="{53851612-FDF7-4D5C-85F7-00F4895397D7}">
      <formula1>product</formula1>
    </dataValidation>
    <dataValidation type="list" allowBlank="1" showInputMessage="1" showErrorMessage="1" errorTitle="Error" error="Please Check the Spelling on your Entry_x000a__x000a_Please Check for Whitespace_x000a__x000a_If the Entry is New Please contact Data Controller to add to list" sqref="G6" xr:uid="{FBBECD4B-93AF-4176-B47D-05A4C99A9F86}">
      <formula1>clearing_agent</formula1>
    </dataValidation>
    <dataValidation type="list" allowBlank="1" showInputMessage="1" showErrorMessage="1" error="Please Check the Spelling on your Entry_x000a__x000a_Please Check for Whitespace_x000a__x000a_If the Entry is New Please contact Data Controller to add to list" sqref="G7" xr:uid="{6F1702CB-0C42-45E9-94E6-DBC2735790DD}">
      <formula1>mine</formula1>
    </dataValidation>
    <dataValidation type="list" allowBlank="1" showInputMessage="1" showErrorMessage="1" errorTitle="Error" error="Please Check the Spelling on your Entry_x000a__x000a_Please Check for Whitespace_x000a__x000a_If the Entry is New Please contact Data Controller to add to list" sqref="Z11:Z12" xr:uid="{9ADCA328-CBA2-46F4-B521-C1ABFEBB2AA5}">
      <formula1>sub_contractor</formula1>
    </dataValidation>
    <dataValidation type="list" allowBlank="1" showInputMessage="1" showErrorMessage="1" sqref="AA11:AA12" xr:uid="{8E998E0E-EA59-4532-9532-717F48A5A485}">
      <formula1>status</formula1>
    </dataValidation>
    <dataValidation type="list" allowBlank="1" showInputMessage="1" showErrorMessage="1" sqref="AB11:AB12" xr:uid="{5A487936-70DB-46B6-AB20-0D2081C877D2}">
      <formula1>route</formula1>
    </dataValidation>
    <dataValidation type="list" allowBlank="1" showInputMessage="1" showErrorMessage="1" sqref="AC11:AC12" xr:uid="{B57995A9-8F96-4891-A4D0-7D8100EE7C58}">
      <formula1>COD_Status</formula1>
    </dataValidation>
    <dataValidation type="list" allowBlank="1" showInputMessage="1" showErrorMessage="1" sqref="Y11:Y12" xr:uid="{AFE883A1-B469-4C28-B271-ED1702984130}">
      <formula1>transporter</formula1>
    </dataValidation>
    <dataValidation type="list" allowBlank="1" showInputMessage="1" showErrorMessage="1" sqref="X11:X12" xr:uid="{57D20432-B464-480F-8395-2A91ACA27799}">
      <formula1>border_of_entry</formula1>
    </dataValidation>
    <dataValidation type="list" allowBlank="1" showInputMessage="1" showErrorMessage="1" sqref="W11:W12" xr:uid="{C8710905-B137-4E17-A074-A49753CBCF9A}">
      <formula1>border_of_exit</formula1>
    </dataValidation>
    <dataValidation type="list" allowBlank="1" showInputMessage="1" showErrorMessage="1" sqref="V11:V12" xr:uid="{45FA7DF8-151D-422C-89ED-CD8B8A2060F3}">
      <formula1>nationality</formula1>
    </dataValidation>
    <dataValidation type="list" allowBlank="1" showInputMessage="1" showErrorMessage="1" sqref="N11:N12" xr:uid="{3FC7237A-0229-4514-86EE-0125374D3BB9}">
      <formula1>IR_Status</formula1>
    </dataValidation>
    <dataValidation type="whole" allowBlank="1" showInputMessage="1" showErrorMessage="1" sqref="I11:I12" xr:uid="{D7EC04D7-EAD8-42AF-84C4-17238FC42B93}">
      <formula1>4000000</formula1>
      <formula2>4999999</formula2>
    </dataValidation>
    <dataValidation type="list" allowBlank="1" showInputMessage="1" showErrorMessage="1" sqref="H11:H12" xr:uid="{3B051B61-03F8-411D-9E86-2808276C4A7B}">
      <formula1>offloading_point</formula1>
    </dataValidation>
    <dataValidation type="list" allowBlank="1" showInputMessage="1" showErrorMessage="1" sqref="G11:G12" xr:uid="{7CED8A21-2801-4021-954A-3FB897BBF835}">
      <formula1>loading_point</formula1>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Button 3">
              <controlPr defaultSize="0" print="0" autoFill="0" autoPict="0" macro="[0]!ShowAddColumnForm">
                <anchor moveWithCells="1" sizeWithCells="1">
                  <from>
                    <xdr:col>9</xdr:col>
                    <xdr:colOff>514350</xdr:colOff>
                    <xdr:row>2</xdr:row>
                    <xdr:rowOff>0</xdr:rowOff>
                  </from>
                  <to>
                    <xdr:col>10</xdr:col>
                    <xdr:colOff>447675</xdr:colOff>
                    <xdr:row>3</xdr:row>
                    <xdr:rowOff>152400</xdr:rowOff>
                  </to>
                </anchor>
              </controlPr>
            </control>
          </mc:Choice>
        </mc:AlternateContent>
        <mc:AlternateContent xmlns:mc="http://schemas.openxmlformats.org/markup-compatibility/2006">
          <mc:Choice Requires="x14">
            <control shapeId="1048" r:id="rId5" name="Button 24">
              <controlPr defaultSize="0" print="0" autoFill="0" autoPict="0" macro="[0]!ShowDeleteColumnForm">
                <anchor moveWithCells="1" sizeWithCells="1">
                  <from>
                    <xdr:col>10</xdr:col>
                    <xdr:colOff>685800</xdr:colOff>
                    <xdr:row>2</xdr:row>
                    <xdr:rowOff>0</xdr:rowOff>
                  </from>
                  <to>
                    <xdr:col>11</xdr:col>
                    <xdr:colOff>676275</xdr:colOff>
                    <xdr:row>3</xdr:row>
                    <xdr:rowOff>152400</xdr:rowOff>
                  </to>
                </anchor>
              </controlPr>
            </control>
          </mc:Choice>
        </mc:AlternateContent>
        <mc:AlternateContent xmlns:mc="http://schemas.openxmlformats.org/markup-compatibility/2006">
          <mc:Choice Requires="x14">
            <control shapeId="1051" r:id="rId6" name="Button 27">
              <controlPr defaultSize="0" print="0" autoFill="0" autoPict="0" macro="[0]!AddRowsToTable1">
                <anchor moveWithCells="1" sizeWithCells="1">
                  <from>
                    <xdr:col>9</xdr:col>
                    <xdr:colOff>514350</xdr:colOff>
                    <xdr:row>5</xdr:row>
                    <xdr:rowOff>38100</xdr:rowOff>
                  </from>
                  <to>
                    <xdr:col>10</xdr:col>
                    <xdr:colOff>447675</xdr:colOff>
                    <xdr:row>7</xdr:row>
                    <xdr:rowOff>0</xdr:rowOff>
                  </to>
                </anchor>
              </controlPr>
            </control>
          </mc:Choice>
        </mc:AlternateContent>
        <mc:AlternateContent xmlns:mc="http://schemas.openxmlformats.org/markup-compatibility/2006">
          <mc:Choice Requires="x14">
            <control shapeId="1054" r:id="rId7" name="Button 30">
              <controlPr defaultSize="0" print="0" autoFill="0" autoPict="0" macro="[0]!DeleteRowsFromTable1BottomUp">
                <anchor moveWithCells="1" sizeWithCells="1">
                  <from>
                    <xdr:col>10</xdr:col>
                    <xdr:colOff>685800</xdr:colOff>
                    <xdr:row>5</xdr:row>
                    <xdr:rowOff>38100</xdr:rowOff>
                  </from>
                  <to>
                    <xdr:col>11</xdr:col>
                    <xdr:colOff>676275</xdr:colOff>
                    <xdr:row>7</xdr:row>
                    <xdr:rowOff>0</xdr:rowOff>
                  </to>
                </anchor>
              </controlPr>
            </control>
          </mc:Choice>
        </mc:AlternateContent>
        <mc:AlternateContent xmlns:mc="http://schemas.openxmlformats.org/markup-compatibility/2006">
          <mc:Choice Requires="x14">
            <control shapeId="1055" r:id="rId8" name="Button 31">
              <controlPr defaultSize="0" print="0" autoFill="0" autoPict="0" macro="[0]!AutoFitColumnsAndRows_RemoveFilters_PositionButtons">
                <anchor moveWithCells="1" sizeWithCells="1">
                  <from>
                    <xdr:col>11</xdr:col>
                    <xdr:colOff>914400</xdr:colOff>
                    <xdr:row>2</xdr:row>
                    <xdr:rowOff>0</xdr:rowOff>
                  </from>
                  <to>
                    <xdr:col>12</xdr:col>
                    <xdr:colOff>685800</xdr:colOff>
                    <xdr:row>3</xdr:row>
                    <xdr:rowOff>152400</xdr:rowOff>
                  </to>
                </anchor>
              </controlPr>
            </control>
          </mc:Choice>
        </mc:AlternateContent>
        <mc:AlternateContent xmlns:mc="http://schemas.openxmlformats.org/markup-compatibility/2006">
          <mc:Choice Requires="x14">
            <control shapeId="1057" r:id="rId9" name="Button 33">
              <controlPr defaultSize="0" print="0" autoFill="0" autoPict="0" macro="[0]!RefreshQueriesWithSheetProtection">
                <anchor moveWithCells="1" sizeWithCells="1">
                  <from>
                    <xdr:col>11</xdr:col>
                    <xdr:colOff>923925</xdr:colOff>
                    <xdr:row>5</xdr:row>
                    <xdr:rowOff>38100</xdr:rowOff>
                  </from>
                  <to>
                    <xdr:col>12</xdr:col>
                    <xdr:colOff>704850</xdr:colOff>
                    <xdr:row>7</xdr:row>
                    <xdr:rowOff>0</xdr:rowOff>
                  </to>
                </anchor>
              </controlPr>
            </control>
          </mc:Choice>
        </mc:AlternateContent>
        <mc:AlternateContent xmlns:mc="http://schemas.openxmlformats.org/markup-compatibility/2006">
          <mc:Choice Requires="x14">
            <control shapeId="1064" r:id="rId10" name="Button 40">
              <controlPr defaultSize="0" print="0" autoFill="0" autoPict="0" macro="[0]!ToggleDemurrageSchedule">
                <anchor moveWithCells="1" sizeWithCells="1">
                  <from>
                    <xdr:col>12</xdr:col>
                    <xdr:colOff>942975</xdr:colOff>
                    <xdr:row>2</xdr:row>
                    <xdr:rowOff>0</xdr:rowOff>
                  </from>
                  <to>
                    <xdr:col>13</xdr:col>
                    <xdr:colOff>447675</xdr:colOff>
                    <xdr:row>3</xdr:row>
                    <xdr:rowOff>152400</xdr:rowOff>
                  </to>
                </anchor>
              </controlPr>
            </control>
          </mc:Choice>
        </mc:AlternateContent>
      </controls>
    </mc:Choice>
  </mc:AlternateContent>
  <tableParts count="1">
    <tablePart r:id="rId11"/>
  </tableParts>
  <extLst>
    <ext xmlns:x14="http://schemas.microsoft.com/office/spreadsheetml/2009/9/main" uri="{CCE6A557-97BC-4b89-ADB6-D9C93CAAB3DF}">
      <x14:dataValidations xmlns:xm="http://schemas.microsoft.com/office/excel/2006/main" count="1">
        <x14:dataValidation type="list" allowBlank="1" showInputMessage="1" showErrorMessage="1" xr:uid="{031E6BB9-AC00-4528-8B1F-68B8952E88F8}">
          <x14:formula1>
            <xm:f>'Data Validation'!$G$4:$G$5</xm:f>
          </x14:formula1>
          <xm:sqref>AO11:AO12</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8555E-15DC-41A0-A462-5FA577D82B68}">
  <sheetPr codeName="Sheet6"/>
  <dimension ref="B2:F8"/>
  <sheetViews>
    <sheetView showGridLines="0" zoomScaleNormal="100" workbookViewId="0">
      <selection activeCell="B3" sqref="B3"/>
    </sheetView>
  </sheetViews>
  <sheetFormatPr defaultColWidth="9.140625" defaultRowHeight="15" x14ac:dyDescent="0.25"/>
  <cols>
    <col min="1" max="1" width="2.85546875" style="12" customWidth="1"/>
    <col min="2" max="2" width="28.5703125" style="12" customWidth="1"/>
    <col min="3" max="3" width="2.85546875" style="12" customWidth="1"/>
    <col min="4" max="4" width="28.5703125" style="12" customWidth="1"/>
    <col min="5" max="5" width="2.85546875" style="12" customWidth="1"/>
    <col min="6" max="6" width="28.5703125" style="12" customWidth="1"/>
    <col min="7" max="16384" width="9.140625" style="12"/>
  </cols>
  <sheetData>
    <row r="2" spans="2:6" x14ac:dyDescent="0.25">
      <c r="B2" t="s">
        <v>515</v>
      </c>
      <c r="D2" t="s">
        <v>516</v>
      </c>
      <c r="F2" t="s">
        <v>517</v>
      </c>
    </row>
    <row r="3" spans="2:6" x14ac:dyDescent="0.25">
      <c r="B3" s="29"/>
      <c r="D3" s="29"/>
      <c r="F3" t="s">
        <v>518</v>
      </c>
    </row>
    <row r="4" spans="2:6" x14ac:dyDescent="0.25">
      <c r="F4" s="30">
        <f>'Tracking Report'!$G$4</f>
        <v>0</v>
      </c>
    </row>
    <row r="5" spans="2:6" x14ac:dyDescent="0.25">
      <c r="F5" s="30" t="e" cm="1" vm="1">
        <f t="array" ref="F5">_xlfn.TEXTJOIN(", ", TRUE, _xlfn.UNIQUE(_xlfn._xlws.FILTER(Table1[PO '#], Table1[PO '#]&lt;&gt;"")))</f>
        <v>#VALUE!</v>
      </c>
    </row>
    <row r="6" spans="2:6" x14ac:dyDescent="0.25">
      <c r="F6" s="30">
        <f>'Tracking Report'!$G$5</f>
        <v>0</v>
      </c>
    </row>
    <row r="7" spans="2:6" x14ac:dyDescent="0.25">
      <c r="F7" t="s">
        <v>519</v>
      </c>
    </row>
    <row r="8" spans="2:6" x14ac:dyDescent="0.25">
      <c r="F8" s="30">
        <f>'Tracking Report'!$G$3</f>
        <v>0</v>
      </c>
    </row>
  </sheetData>
  <sheetProtection algorithmName="SHA-512" hashValue="ZlQujTQcKUNhAM4RsoHb2v50Pbw92/d+zq6MbfSrx2j1L7lZA9XWB55pCB2+Mfk4VNa0kprIan8q9FDK4yUhtw==" saltValue="kH7Nkb74scvbxB3yAjo4QA==" spinCount="100000" sheet="1" objects="1" scenarios="1" formatColumns="0"/>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Button 1">
              <controlPr defaultSize="0" print="0" autoFill="0" autoPict="0" macro="[0]!RefreshDataAndGenerateEmailPrompt">
                <anchor moveWithCells="1" sizeWithCells="1">
                  <from>
                    <xdr:col>5</xdr:col>
                    <xdr:colOff>76200</xdr:colOff>
                    <xdr:row>8</xdr:row>
                    <xdr:rowOff>114300</xdr:rowOff>
                  </from>
                  <to>
                    <xdr:col>5</xdr:col>
                    <xdr:colOff>1819275</xdr:colOff>
                    <xdr:row>11</xdr:row>
                    <xdr:rowOff>85725</xdr:rowOff>
                  </to>
                </anchor>
              </controlPr>
            </control>
          </mc:Choice>
        </mc:AlternateContent>
      </controls>
    </mc:Choice>
  </mc:AlternateContent>
  <tableParts count="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F6670-15CD-482D-B761-F287D50AF228}">
  <sheetPr codeName="Sheet7"/>
  <dimension ref="B2:I4"/>
  <sheetViews>
    <sheetView showGridLines="0" workbookViewId="0">
      <selection activeCell="K11" sqref="K11"/>
    </sheetView>
  </sheetViews>
  <sheetFormatPr defaultRowHeight="15" x14ac:dyDescent="0.25"/>
  <cols>
    <col min="1" max="1" width="2.85546875" customWidth="1"/>
    <col min="2" max="2" width="8.85546875" bestFit="1" customWidth="1"/>
    <col min="3" max="3" width="19.140625" bestFit="1" customWidth="1"/>
    <col min="4" max="4" width="23.140625" bestFit="1" customWidth="1"/>
    <col min="5" max="5" width="20.28515625" bestFit="1" customWidth="1"/>
    <col min="6" max="6" width="16.7109375" bestFit="1" customWidth="1"/>
    <col min="7" max="7" width="13.42578125" bestFit="1" customWidth="1"/>
    <col min="8" max="8" width="22.7109375" bestFit="1" customWidth="1"/>
    <col min="9" max="9" width="23.28515625" bestFit="1" customWidth="1"/>
    <col min="10" max="10" width="19.140625" bestFit="1" customWidth="1"/>
    <col min="11" max="11" width="19" bestFit="1" customWidth="1"/>
    <col min="12" max="12" width="17.5703125" bestFit="1" customWidth="1"/>
    <col min="13" max="13" width="23.140625" bestFit="1" customWidth="1"/>
    <col min="14" max="14" width="20.28515625" bestFit="1" customWidth="1"/>
    <col min="15" max="16" width="16.7109375" bestFit="1" customWidth="1"/>
    <col min="17" max="17" width="13.5703125" bestFit="1" customWidth="1"/>
    <col min="18" max="18" width="13.85546875" bestFit="1" customWidth="1"/>
    <col min="19" max="19" width="18" bestFit="1" customWidth="1"/>
    <col min="20" max="20" width="18.140625" bestFit="1" customWidth="1"/>
    <col min="21" max="21" width="19" bestFit="1" customWidth="1"/>
    <col min="22" max="22" width="15.140625" bestFit="1" customWidth="1"/>
    <col min="23" max="23" width="16.140625" bestFit="1" customWidth="1"/>
    <col min="24" max="24" width="18.28515625" bestFit="1" customWidth="1"/>
    <col min="25" max="25" width="19.140625" bestFit="1" customWidth="1"/>
    <col min="26" max="26" width="19" bestFit="1" customWidth="1"/>
    <col min="27" max="27" width="17.5703125" bestFit="1" customWidth="1"/>
  </cols>
  <sheetData>
    <row r="2" spans="2:9" x14ac:dyDescent="0.25">
      <c r="B2" t="s">
        <v>2</v>
      </c>
      <c r="C2" t="s">
        <v>5</v>
      </c>
      <c r="D2" t="s">
        <v>520</v>
      </c>
      <c r="E2" t="s">
        <v>521</v>
      </c>
      <c r="F2" t="s">
        <v>522</v>
      </c>
      <c r="G2" t="s">
        <v>559</v>
      </c>
      <c r="H2" t="s">
        <v>523</v>
      </c>
      <c r="I2" t="s">
        <v>524</v>
      </c>
    </row>
    <row r="3" spans="2:9" x14ac:dyDescent="0.25">
      <c r="B3">
        <v>1</v>
      </c>
    </row>
    <row r="4" spans="2:9" x14ac:dyDescent="0.25">
      <c r="B4">
        <v>2</v>
      </c>
    </row>
  </sheetData>
  <phoneticPr fontId="7" type="noConversion"/>
  <conditionalFormatting sqref="D3:F4">
    <cfRule type="cellIs" dxfId="46" priority="2" operator="greaterThan">
      <formula>3</formula>
    </cfRule>
  </conditionalFormatting>
  <conditionalFormatting sqref="G3:G4">
    <cfRule type="cellIs" dxfId="45" priority="1" operator="greaterThan">
      <formula>2</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AE21F-D1E4-4DD5-9EE4-75784C45961D}">
  <sheetPr codeName="Sheet2"/>
  <dimension ref="B2:F10"/>
  <sheetViews>
    <sheetView showGridLines="0" workbookViewId="0">
      <selection activeCell="I11" sqref="I11"/>
    </sheetView>
  </sheetViews>
  <sheetFormatPr defaultRowHeight="15" x14ac:dyDescent="0.25"/>
  <cols>
    <col min="1" max="1" width="2.85546875" customWidth="1"/>
    <col min="2" max="2" width="8.7109375" bestFit="1" customWidth="1"/>
    <col min="3" max="3" width="10.7109375" bestFit="1" customWidth="1"/>
    <col min="4" max="4" width="8.85546875" bestFit="1" customWidth="1"/>
    <col min="5" max="7" width="10.85546875" bestFit="1" customWidth="1"/>
  </cols>
  <sheetData>
    <row r="2" spans="2:6" x14ac:dyDescent="0.25">
      <c r="B2" t="s">
        <v>511</v>
      </c>
      <c r="C2" t="s">
        <v>512</v>
      </c>
    </row>
    <row r="3" spans="2:6" x14ac:dyDescent="0.25">
      <c r="B3" t="str">
        <f>'Tracking Report'!$H$3</f>
        <v>Order Quantity:</v>
      </c>
      <c r="C3" s="24">
        <f>'Tracking Report'!$I$3</f>
        <v>0</v>
      </c>
      <c r="D3" s="24"/>
      <c r="E3" s="24"/>
      <c r="F3" s="24"/>
    </row>
    <row r="4" spans="2:6" x14ac:dyDescent="0.25">
      <c r="B4" t="str">
        <f>'Tracking Report'!$H$4</f>
        <v>Quantity Delivered:</v>
      </c>
      <c r="C4" s="24">
        <f>'Tracking Report'!$I$4</f>
        <v>0</v>
      </c>
      <c r="D4" s="24"/>
      <c r="E4" s="24"/>
      <c r="F4" s="24"/>
    </row>
    <row r="5" spans="2:6" x14ac:dyDescent="0.25">
      <c r="B5" t="str">
        <f>'Tracking Report'!$H$5</f>
        <v>Quantity En Route:</v>
      </c>
      <c r="C5" s="24">
        <f>'Tracking Report'!$I$5</f>
        <v>0</v>
      </c>
      <c r="D5" s="24"/>
      <c r="E5" s="24"/>
      <c r="F5" s="24"/>
    </row>
    <row r="6" spans="2:6" x14ac:dyDescent="0.25">
      <c r="B6" t="str">
        <f>'Tracking Report'!$H$6</f>
        <v>Quantity Planned:</v>
      </c>
      <c r="C6" s="24">
        <f>'Tracking Report'!$I$6</f>
        <v>0</v>
      </c>
      <c r="D6" s="24"/>
      <c r="E6" s="24"/>
      <c r="F6" s="24"/>
    </row>
    <row r="7" spans="2:6" x14ac:dyDescent="0.25">
      <c r="B7" t="str">
        <f>'Tracking Report'!$H$7</f>
        <v>Quantity Outstanding:</v>
      </c>
      <c r="C7" s="24">
        <f>'Tracking Report'!$I$7</f>
        <v>0</v>
      </c>
      <c r="D7" s="24"/>
      <c r="E7" s="24"/>
      <c r="F7" s="24"/>
    </row>
    <row r="9" spans="2:6" x14ac:dyDescent="0.25">
      <c r="B9" t="s">
        <v>415</v>
      </c>
      <c r="C9" t="s">
        <v>525</v>
      </c>
      <c r="D9" t="s">
        <v>513</v>
      </c>
      <c r="E9" t="s">
        <v>514</v>
      </c>
    </row>
    <row r="10" spans="2:6" x14ac:dyDescent="0.25">
      <c r="D10">
        <v>2</v>
      </c>
    </row>
  </sheetData>
  <phoneticPr fontId="7" type="noConversion"/>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661D8-0BC7-4CA6-BD98-BD5504A88ECB}">
  <sheetPr codeName="Sheet1"/>
  <dimension ref="B2:S157"/>
  <sheetViews>
    <sheetView showGridLines="0" workbookViewId="0">
      <selection activeCell="O13" sqref="O13"/>
    </sheetView>
  </sheetViews>
  <sheetFormatPr defaultRowHeight="15" x14ac:dyDescent="0.25"/>
  <cols>
    <col min="1" max="1" width="2.85546875" customWidth="1"/>
    <col min="2" max="2" width="26.5703125" bestFit="1" customWidth="1"/>
    <col min="3" max="3" width="10.5703125" bestFit="1" customWidth="1"/>
    <col min="4" max="4" width="19.7109375" bestFit="1" customWidth="1"/>
    <col min="5" max="5" width="20.42578125" bestFit="1" customWidth="1"/>
    <col min="6" max="6" width="8.85546875" bestFit="1" customWidth="1"/>
    <col min="7" max="7" width="3.5703125" customWidth="1"/>
    <col min="8" max="8" width="8.85546875" bestFit="1" customWidth="1"/>
    <col min="9" max="9" width="19.140625" bestFit="1" customWidth="1"/>
    <col min="10" max="10" width="13.5703125" bestFit="1" customWidth="1"/>
    <col min="11" max="11" width="25.7109375" bestFit="1" customWidth="1"/>
    <col min="12" max="12" width="26.42578125" bestFit="1" customWidth="1"/>
    <col min="13" max="13" width="13.140625" bestFit="1" customWidth="1"/>
    <col min="14" max="14" width="3.5703125" customWidth="1"/>
    <col min="15" max="15" width="13.5703125" bestFit="1" customWidth="1"/>
    <col min="16" max="16" width="17.7109375" bestFit="1" customWidth="1"/>
    <col min="18" max="18" width="26.5703125" hidden="1" customWidth="1"/>
    <col min="19" max="19" width="14" hidden="1" customWidth="1"/>
  </cols>
  <sheetData>
    <row r="2" spans="2:19" x14ac:dyDescent="0.25">
      <c r="R2" t="str" cm="1">
        <f t="array" ref="R2:R78">_xlfn.LET(_xlpm.t, transporter, _xlfn._xlws.SORT(_xlfn.UNIQUE(_xlfn._xlws.FILTER(_xlpm.t, _xlpm.t&lt;&gt;""))))</f>
        <v>Access Logistic</v>
      </c>
      <c r="S2" t="e" cm="1" vm="1">
        <f t="array" ref="S2">_xlfn.UNIQUE(_xlfn._xlws.FILTER(Table1[Transporter], Table1[Transporter]&lt;&gt;""))</f>
        <v>#VALUE!</v>
      </c>
    </row>
    <row r="3" spans="2:19" x14ac:dyDescent="0.25">
      <c r="R3" t="str">
        <v>Access World</v>
      </c>
    </row>
    <row r="4" spans="2:19" x14ac:dyDescent="0.25">
      <c r="R4" t="str">
        <v>Afbuy</v>
      </c>
    </row>
    <row r="5" spans="2:19" x14ac:dyDescent="0.25">
      <c r="R5" t="str">
        <v>Afnet</v>
      </c>
    </row>
    <row r="6" spans="2:19" x14ac:dyDescent="0.25">
      <c r="R6" t="str">
        <v>AK Transport</v>
      </c>
    </row>
    <row r="7" spans="2:19" x14ac:dyDescent="0.25">
      <c r="B7" t="s">
        <v>16</v>
      </c>
      <c r="C7" t="s">
        <v>577</v>
      </c>
      <c r="D7" t="s">
        <v>578</v>
      </c>
      <c r="E7" t="s">
        <v>579</v>
      </c>
      <c r="F7" t="s">
        <v>580</v>
      </c>
      <c r="H7" t="s">
        <v>2</v>
      </c>
      <c r="I7" t="s">
        <v>5</v>
      </c>
      <c r="J7" t="s">
        <v>16</v>
      </c>
      <c r="K7" t="s">
        <v>581</v>
      </c>
      <c r="L7" t="s">
        <v>582</v>
      </c>
      <c r="M7" t="s">
        <v>583</v>
      </c>
      <c r="O7" s="42" t="s">
        <v>16</v>
      </c>
      <c r="P7" t="s">
        <v>585</v>
      </c>
      <c r="R7" t="str">
        <v>Anderson</v>
      </c>
    </row>
    <row r="8" spans="2:19" x14ac:dyDescent="0.25">
      <c r="B8" t="str">
        <f t="shared" ref="B8:B39" si="0">R2</f>
        <v>Access Logistic</v>
      </c>
      <c r="C8" s="44"/>
      <c r="D8" s="32"/>
      <c r="E8" s="32"/>
      <c r="F8" t="str" cm="1">
        <f t="array" ref="F8">IF(COUNTIF(Transporters_Used, Table34[[#This Row],[Transporter]]) &gt; 0, "Active", "Inactive")</f>
        <v>Inactive</v>
      </c>
      <c r="H8" s="43"/>
      <c r="I8" s="43"/>
      <c r="K8" s="43"/>
      <c r="L8" s="43"/>
      <c r="M8" s="41"/>
      <c r="O8" t="s">
        <v>586</v>
      </c>
      <c r="P8" s="41"/>
      <c r="R8" t="str">
        <v>Atlas</v>
      </c>
    </row>
    <row r="9" spans="2:19" x14ac:dyDescent="0.25">
      <c r="B9" t="str">
        <f t="shared" si="0"/>
        <v>Access World</v>
      </c>
      <c r="C9" s="44"/>
      <c r="D9" s="32"/>
      <c r="E9" s="32"/>
      <c r="F9" t="str" cm="1">
        <f t="array" ref="F9">IF(COUNTIF(Transporters_Used, Table34[[#This Row],[Transporter]]) &gt; 0, "Active", "Inactive")</f>
        <v>Inactive</v>
      </c>
      <c r="H9" s="43"/>
      <c r="I9" s="43"/>
      <c r="K9" s="43"/>
      <c r="L9" s="43"/>
      <c r="M9" s="41">
        <f>SUBTOTAL(109,Demurrage_Schedule[Demurrage])</f>
        <v>0</v>
      </c>
      <c r="O9" t="s">
        <v>584</v>
      </c>
      <c r="P9" s="41"/>
      <c r="R9" t="str">
        <v>Azeta</v>
      </c>
    </row>
    <row r="10" spans="2:19" x14ac:dyDescent="0.25">
      <c r="B10" t="str">
        <f t="shared" si="0"/>
        <v>Afbuy</v>
      </c>
      <c r="C10" s="44"/>
      <c r="D10" s="32"/>
      <c r="E10" s="32"/>
      <c r="F10" t="str" cm="1">
        <f t="array" ref="F10">IF(COUNTIF(Transporters_Used, Table34[[#This Row],[Transporter]]) &gt; 0, "Active", "Inactive")</f>
        <v>Inactive</v>
      </c>
      <c r="R10" t="str">
        <v>Bitwell</v>
      </c>
    </row>
    <row r="11" spans="2:19" x14ac:dyDescent="0.25">
      <c r="B11" t="str">
        <f t="shared" si="0"/>
        <v>Afnet</v>
      </c>
      <c r="C11" s="44"/>
      <c r="D11" s="32"/>
      <c r="E11" s="32"/>
      <c r="F11" t="str" cm="1">
        <f t="array" ref="F11">IF(COUNTIF(Transporters_Used, Table34[[#This Row],[Transporter]]) &gt; 0, "Active", "Inactive")</f>
        <v>Inactive</v>
      </c>
      <c r="R11" t="str">
        <v>Blaauws</v>
      </c>
    </row>
    <row r="12" spans="2:19" x14ac:dyDescent="0.25">
      <c r="B12" t="str">
        <f t="shared" si="0"/>
        <v>AK Transport</v>
      </c>
      <c r="C12" s="44"/>
      <c r="D12" s="32"/>
      <c r="E12" s="32"/>
      <c r="F12" t="str" cm="1">
        <f t="array" ref="F12">IF(COUNTIF(Transporters_Used, Table34[[#This Row],[Transporter]]) &gt; 0, "Active", "Inactive")</f>
        <v>Inactive</v>
      </c>
      <c r="R12" t="str">
        <v>Blue Gorilla</v>
      </c>
    </row>
    <row r="13" spans="2:19" x14ac:dyDescent="0.25">
      <c r="B13" t="str">
        <f t="shared" si="0"/>
        <v>Anderson</v>
      </c>
      <c r="C13" s="44"/>
      <c r="D13" s="32"/>
      <c r="E13" s="32"/>
      <c r="F13" t="str" cm="1">
        <f t="array" ref="F13">IF(COUNTIF(Transporters_Used, Table34[[#This Row],[Transporter]]) &gt; 0, "Active", "Inactive")</f>
        <v>Inactive</v>
      </c>
      <c r="R13" t="str">
        <v>C Time Transport</v>
      </c>
    </row>
    <row r="14" spans="2:19" x14ac:dyDescent="0.25">
      <c r="B14" t="str">
        <f t="shared" si="0"/>
        <v>Atlas</v>
      </c>
      <c r="C14" s="44"/>
      <c r="D14" s="32"/>
      <c r="E14" s="32"/>
      <c r="F14" t="str" cm="1">
        <f t="array" ref="F14">IF(COUNTIF(Transporters_Used, Table34[[#This Row],[Transporter]]) &gt; 0, "Active", "Inactive")</f>
        <v>Inactive</v>
      </c>
      <c r="R14" t="str">
        <v>CC Logistics</v>
      </c>
    </row>
    <row r="15" spans="2:19" x14ac:dyDescent="0.25">
      <c r="B15" t="str">
        <f t="shared" si="0"/>
        <v>Azeta</v>
      </c>
      <c r="C15" s="44"/>
      <c r="D15" s="32"/>
      <c r="E15" s="32"/>
      <c r="F15" t="str" cm="1">
        <f t="array" ref="F15">IF(COUNTIF(Transporters_Used, Table34[[#This Row],[Transporter]]) &gt; 0, "Active", "Inactive")</f>
        <v>Inactive</v>
      </c>
      <c r="R15" t="str">
        <v>Client</v>
      </c>
    </row>
    <row r="16" spans="2:19" x14ac:dyDescent="0.25">
      <c r="B16" t="str">
        <f t="shared" si="0"/>
        <v>Bitwell</v>
      </c>
      <c r="C16" s="44"/>
      <c r="D16" s="32"/>
      <c r="E16" s="32"/>
      <c r="F16" t="str" cm="1">
        <f t="array" ref="F16">IF(COUNTIF(Transporters_Used, Table34[[#This Row],[Transporter]]) &gt; 0, "Active", "Inactive")</f>
        <v>Inactive</v>
      </c>
      <c r="R16" t="str">
        <v>Coleman</v>
      </c>
    </row>
    <row r="17" spans="2:18" x14ac:dyDescent="0.25">
      <c r="B17" t="str">
        <f t="shared" si="0"/>
        <v>Blaauws</v>
      </c>
      <c r="C17" s="44"/>
      <c r="D17" s="32"/>
      <c r="E17" s="32"/>
      <c r="F17" t="str" cm="1">
        <f t="array" ref="F17">IF(COUNTIF(Transporters_Used, Table34[[#This Row],[Transporter]]) &gt; 0, "Active", "Inactive")</f>
        <v>Inactive</v>
      </c>
      <c r="R17" t="str">
        <v>Concargo</v>
      </c>
    </row>
    <row r="18" spans="2:18" x14ac:dyDescent="0.25">
      <c r="B18" t="str">
        <f t="shared" si="0"/>
        <v>Blue Gorilla</v>
      </c>
      <c r="C18" s="44"/>
      <c r="D18" s="32"/>
      <c r="E18" s="32"/>
      <c r="F18" t="str" cm="1">
        <f t="array" ref="F18">IF(COUNTIF(Transporters_Used, Table34[[#This Row],[Transporter]]) &gt; 0, "Active", "Inactive")</f>
        <v>Inactive</v>
      </c>
      <c r="R18" t="str">
        <v>Concrete Structure</v>
      </c>
    </row>
    <row r="19" spans="2:18" x14ac:dyDescent="0.25">
      <c r="B19" t="str">
        <f t="shared" si="0"/>
        <v>C Time Transport</v>
      </c>
      <c r="C19" s="44"/>
      <c r="D19" s="32"/>
      <c r="E19" s="32"/>
      <c r="F19" t="str" cm="1">
        <f t="array" ref="F19">IF(COUNTIF(Transporters_Used, Table34[[#This Row],[Transporter]]) &gt; 0, "Active", "Inactive")</f>
        <v>Inactive</v>
      </c>
      <c r="R19" t="str">
        <v>Dhaqane</v>
      </c>
    </row>
    <row r="20" spans="2:18" x14ac:dyDescent="0.25">
      <c r="B20" t="str">
        <f t="shared" si="0"/>
        <v>CC Logistics</v>
      </c>
      <c r="C20" s="44"/>
      <c r="D20" s="32"/>
      <c r="E20" s="32"/>
      <c r="F20" t="str" cm="1">
        <f t="array" ref="F20">IF(COUNTIF(Transporters_Used, Table34[[#This Row],[Transporter]]) &gt; 0, "Active", "Inactive")</f>
        <v>Inactive</v>
      </c>
      <c r="R20" t="str">
        <v>DHL</v>
      </c>
    </row>
    <row r="21" spans="2:18" x14ac:dyDescent="0.25">
      <c r="B21" t="str">
        <f t="shared" si="0"/>
        <v>Client</v>
      </c>
      <c r="C21" s="44"/>
      <c r="D21" s="32"/>
      <c r="E21" s="32"/>
      <c r="F21" t="str" cm="1">
        <f t="array" ref="F21">IF(COUNTIF(Transporters_Used, Table34[[#This Row],[Transporter]]) &gt; 0, "Active", "Inactive")</f>
        <v>Inactive</v>
      </c>
      <c r="R21" t="str">
        <v>E Awadh</v>
      </c>
    </row>
    <row r="22" spans="2:18" x14ac:dyDescent="0.25">
      <c r="B22" t="str">
        <f t="shared" si="0"/>
        <v>Coleman</v>
      </c>
      <c r="C22" s="44"/>
      <c r="D22" s="32"/>
      <c r="E22" s="32"/>
      <c r="F22" t="str" cm="1">
        <f t="array" ref="F22">IF(COUNTIF(Transporters_Used, Table34[[#This Row],[Transporter]]) &gt; 0, "Active", "Inactive")</f>
        <v>Inactive</v>
      </c>
      <c r="R22" t="str">
        <v>EPS Trucking</v>
      </c>
    </row>
    <row r="23" spans="2:18" x14ac:dyDescent="0.25">
      <c r="B23" t="str">
        <f t="shared" si="0"/>
        <v>Concargo</v>
      </c>
      <c r="C23" s="44"/>
      <c r="D23" s="32"/>
      <c r="E23" s="32"/>
      <c r="F23" t="str" cm="1">
        <f t="array" ref="F23">IF(COUNTIF(Transporters_Used, Table34[[#This Row],[Transporter]]) &gt; 0, "Active", "Inactive")</f>
        <v>Inactive</v>
      </c>
      <c r="R23" t="str">
        <v>Freight Excellence</v>
      </c>
    </row>
    <row r="24" spans="2:18" x14ac:dyDescent="0.25">
      <c r="B24" t="str">
        <f t="shared" si="0"/>
        <v>Concrete Structure</v>
      </c>
      <c r="C24" s="44"/>
      <c r="D24" s="32"/>
      <c r="E24" s="32"/>
      <c r="F24" t="str" cm="1">
        <f t="array" ref="F24">IF(COUNTIF(Transporters_Used, Table34[[#This Row],[Transporter]]) &gt; 0, "Active", "Inactive")</f>
        <v>Inactive</v>
      </c>
      <c r="R24" t="str">
        <v>Freight World</v>
      </c>
    </row>
    <row r="25" spans="2:18" x14ac:dyDescent="0.25">
      <c r="B25" t="str">
        <f t="shared" si="0"/>
        <v>Dhaqane</v>
      </c>
      <c r="C25" s="44"/>
      <c r="D25" s="32"/>
      <c r="E25" s="32"/>
      <c r="F25" t="str" cm="1">
        <f t="array" ref="F25">IF(COUNTIF(Transporters_Used, Table34[[#This Row],[Transporter]]) &gt; 0, "Active", "Inactive")</f>
        <v>Inactive</v>
      </c>
      <c r="R25" t="str">
        <v>Galco</v>
      </c>
    </row>
    <row r="26" spans="2:18" x14ac:dyDescent="0.25">
      <c r="B26" t="str">
        <f t="shared" si="0"/>
        <v>DHL</v>
      </c>
      <c r="C26" s="44"/>
      <c r="D26" s="32"/>
      <c r="E26" s="32"/>
      <c r="F26" t="str" cm="1">
        <f t="array" ref="F26">IF(COUNTIF(Transporters_Used, Table34[[#This Row],[Transporter]]) &gt; 0, "Active", "Inactive")</f>
        <v>Inactive</v>
      </c>
      <c r="R26" t="str">
        <v>Gass Transport</v>
      </c>
    </row>
    <row r="27" spans="2:18" x14ac:dyDescent="0.25">
      <c r="B27" t="str">
        <f t="shared" si="0"/>
        <v>E Awadh</v>
      </c>
      <c r="C27" s="44"/>
      <c r="D27" s="32"/>
      <c r="E27" s="32"/>
      <c r="F27" t="str" cm="1">
        <f t="array" ref="F27">IF(COUNTIF(Transporters_Used, Table34[[#This Row],[Transporter]]) &gt; 0, "Active", "Inactive")</f>
        <v>Inactive</v>
      </c>
      <c r="R27" t="str">
        <v>Gomes</v>
      </c>
    </row>
    <row r="28" spans="2:18" x14ac:dyDescent="0.25">
      <c r="B28" t="str">
        <f t="shared" si="0"/>
        <v>EPS Trucking</v>
      </c>
      <c r="C28" s="44"/>
      <c r="D28" s="32"/>
      <c r="E28" s="32"/>
      <c r="F28" t="str" cm="1">
        <f t="array" ref="F28">IF(COUNTIF(Transporters_Used, Table34[[#This Row],[Transporter]]) &gt; 0, "Active", "Inactive")</f>
        <v>Inactive</v>
      </c>
      <c r="R28" t="str">
        <v>Hardcore Logistics</v>
      </c>
    </row>
    <row r="29" spans="2:18" x14ac:dyDescent="0.25">
      <c r="B29" t="str">
        <f t="shared" si="0"/>
        <v>Freight Excellence</v>
      </c>
      <c r="C29" s="44"/>
      <c r="D29" s="32"/>
      <c r="E29" s="32"/>
      <c r="F29" t="str" cm="1">
        <f t="array" ref="F29">IF(COUNTIF(Transporters_Used, Table34[[#This Row],[Transporter]]) &gt; 0, "Active", "Inactive")</f>
        <v>Inactive</v>
      </c>
      <c r="R29" t="str">
        <v>Hauloads</v>
      </c>
    </row>
    <row r="30" spans="2:18" x14ac:dyDescent="0.25">
      <c r="B30" t="str">
        <f t="shared" si="0"/>
        <v>Freight World</v>
      </c>
      <c r="C30" s="44"/>
      <c r="D30" s="32"/>
      <c r="E30" s="32"/>
      <c r="F30" t="str" cm="1">
        <f t="array" ref="F30">IF(COUNTIF(Transporters_Used, Table34[[#This Row],[Transporter]]) &gt; 0, "Active", "Inactive")</f>
        <v>Inactive</v>
      </c>
      <c r="R30" t="str">
        <v>Icheetah Logtech Zambia Ltd</v>
      </c>
    </row>
    <row r="31" spans="2:18" x14ac:dyDescent="0.25">
      <c r="B31" t="str">
        <f t="shared" si="0"/>
        <v>Galco</v>
      </c>
      <c r="C31" s="44"/>
      <c r="D31" s="32"/>
      <c r="E31" s="32"/>
      <c r="F31" t="str" cm="1">
        <f t="array" ref="F31">IF(COUNTIF(Transporters_Used, Table34[[#This Row],[Transporter]]) &gt; 0, "Active", "Inactive")</f>
        <v>Inactive</v>
      </c>
      <c r="R31" t="str">
        <v>Impala</v>
      </c>
    </row>
    <row r="32" spans="2:18" x14ac:dyDescent="0.25">
      <c r="B32" t="str">
        <f t="shared" si="0"/>
        <v>Gass Transport</v>
      </c>
      <c r="C32" s="44"/>
      <c r="D32" s="32"/>
      <c r="E32" s="32"/>
      <c r="F32" t="str" cm="1">
        <f t="array" ref="F32">IF(COUNTIF(Transporters_Used, Table34[[#This Row],[Transporter]]) &gt; 0, "Active", "Inactive")</f>
        <v>Inactive</v>
      </c>
      <c r="R32" t="str">
        <v>Imperial</v>
      </c>
    </row>
    <row r="33" spans="2:18" x14ac:dyDescent="0.25">
      <c r="B33" t="str">
        <f t="shared" si="0"/>
        <v>Gomes</v>
      </c>
      <c r="C33" s="44"/>
      <c r="D33" s="32"/>
      <c r="E33" s="32"/>
      <c r="F33" t="str" cm="1">
        <f t="array" ref="F33">IF(COUNTIF(Transporters_Used, Table34[[#This Row],[Transporter]]) &gt; 0, "Active", "Inactive")</f>
        <v>Inactive</v>
      </c>
      <c r="R33" t="str">
        <v>Imperial Road Haulage</v>
      </c>
    </row>
    <row r="34" spans="2:18" x14ac:dyDescent="0.25">
      <c r="B34" t="str">
        <f t="shared" si="0"/>
        <v>Hardcore Logistics</v>
      </c>
      <c r="C34" s="44"/>
      <c r="D34" s="32"/>
      <c r="E34" s="32"/>
      <c r="F34" t="str" cm="1">
        <f t="array" ref="F34">IF(COUNTIF(Transporters_Used, Table34[[#This Row],[Transporter]]) &gt; 0, "Active", "Inactive")</f>
        <v>Inactive</v>
      </c>
      <c r="R34" t="str">
        <v>Inara</v>
      </c>
    </row>
    <row r="35" spans="2:18" x14ac:dyDescent="0.25">
      <c r="B35" t="str">
        <f t="shared" si="0"/>
        <v>Hauloads</v>
      </c>
      <c r="C35" s="44"/>
      <c r="D35" s="32"/>
      <c r="E35" s="32"/>
      <c r="F35" t="str" cm="1">
        <f t="array" ref="F35">IF(COUNTIF(Transporters_Used, Table34[[#This Row],[Transporter]]) &gt; 0, "Active", "Inactive")</f>
        <v>Inactive</v>
      </c>
      <c r="R35" t="str">
        <v>JJ Africa</v>
      </c>
    </row>
    <row r="36" spans="2:18" x14ac:dyDescent="0.25">
      <c r="B36" t="str">
        <f t="shared" si="0"/>
        <v>Icheetah Logtech Zambia Ltd</v>
      </c>
      <c r="C36" s="44"/>
      <c r="D36" s="32"/>
      <c r="E36" s="32"/>
      <c r="F36" t="str" cm="1">
        <f t="array" ref="F36">IF(COUNTIF(Transporters_Used, Table34[[#This Row],[Transporter]]) &gt; 0, "Active", "Inactive")</f>
        <v>Inactive</v>
      </c>
      <c r="R36" t="str">
        <v>JP Freight</v>
      </c>
    </row>
    <row r="37" spans="2:18" x14ac:dyDescent="0.25">
      <c r="B37" t="str">
        <f t="shared" si="0"/>
        <v>Impala</v>
      </c>
      <c r="C37" s="44"/>
      <c r="D37" s="32"/>
      <c r="E37" s="32"/>
      <c r="F37" t="str" cm="1">
        <f t="array" ref="F37">IF(COUNTIF(Transporters_Used, Table34[[#This Row],[Transporter]]) &gt; 0, "Active", "Inactive")</f>
        <v>Inactive</v>
      </c>
      <c r="R37" t="str">
        <v>Kansanshi Mining</v>
      </c>
    </row>
    <row r="38" spans="2:18" x14ac:dyDescent="0.25">
      <c r="B38" t="str">
        <f t="shared" si="0"/>
        <v>Imperial</v>
      </c>
      <c r="C38" s="44"/>
      <c r="D38" s="32"/>
      <c r="E38" s="32"/>
      <c r="F38" t="str" cm="1">
        <f t="array" ref="F38">IF(COUNTIF(Transporters_Used, Table34[[#This Row],[Transporter]]) &gt; 0, "Active", "Inactive")</f>
        <v>Inactive</v>
      </c>
      <c r="R38" t="str">
        <v>Kilwe</v>
      </c>
    </row>
    <row r="39" spans="2:18" x14ac:dyDescent="0.25">
      <c r="B39" t="str">
        <f t="shared" si="0"/>
        <v>Imperial Road Haulage</v>
      </c>
      <c r="C39" s="44"/>
      <c r="D39" s="32"/>
      <c r="E39" s="32"/>
      <c r="F39" t="str" cm="1">
        <f t="array" ref="F39">IF(COUNTIF(Transporters_Used, Table34[[#This Row],[Transporter]]) &gt; 0, "Active", "Inactive")</f>
        <v>Inactive</v>
      </c>
      <c r="R39" t="str">
        <v>KSSG Distributors</v>
      </c>
    </row>
    <row r="40" spans="2:18" x14ac:dyDescent="0.25">
      <c r="B40" t="str">
        <f t="shared" ref="B40:B71" si="1">R34</f>
        <v>Inara</v>
      </c>
      <c r="C40" s="44"/>
      <c r="D40" s="32"/>
      <c r="E40" s="32"/>
      <c r="F40" t="str" cm="1">
        <f t="array" ref="F40">IF(COUNTIF(Transporters_Used, Table34[[#This Row],[Transporter]]) &gt; 0, "Active", "Inactive")</f>
        <v>Inactive</v>
      </c>
      <c r="R40" t="str">
        <v>Lisukile</v>
      </c>
    </row>
    <row r="41" spans="2:18" x14ac:dyDescent="0.25">
      <c r="B41" t="str">
        <f t="shared" si="1"/>
        <v>JJ Africa</v>
      </c>
      <c r="C41" s="44"/>
      <c r="D41" s="32"/>
      <c r="E41" s="32"/>
      <c r="F41" t="str" cm="1">
        <f t="array" ref="F41">IF(COUNTIF(Transporters_Used, Table34[[#This Row],[Transporter]]) &gt; 0, "Active", "Inactive")</f>
        <v>Inactive</v>
      </c>
      <c r="R41" t="str">
        <v>Load Master</v>
      </c>
    </row>
    <row r="42" spans="2:18" x14ac:dyDescent="0.25">
      <c r="B42" t="str">
        <f t="shared" si="1"/>
        <v>JP Freight</v>
      </c>
      <c r="C42" s="44"/>
      <c r="D42" s="32"/>
      <c r="E42" s="32"/>
      <c r="F42" t="str" cm="1">
        <f t="array" ref="F42">IF(COUNTIF(Transporters_Used, Table34[[#This Row],[Transporter]]) &gt; 0, "Active", "Inactive")</f>
        <v>Inactive</v>
      </c>
      <c r="R42" t="str">
        <v>Merzario</v>
      </c>
    </row>
    <row r="43" spans="2:18" x14ac:dyDescent="0.25">
      <c r="B43" t="str">
        <f t="shared" si="1"/>
        <v>Kansanshi Mining</v>
      </c>
      <c r="C43" s="44"/>
      <c r="D43" s="32"/>
      <c r="E43" s="32"/>
      <c r="F43" t="str" cm="1">
        <f t="array" ref="F43">IF(COUNTIF(Transporters_Used, Table34[[#This Row],[Transporter]]) &gt; 0, "Active", "Inactive")</f>
        <v>Inactive</v>
      </c>
      <c r="R43" t="str">
        <v>MSA Freight</v>
      </c>
    </row>
    <row r="44" spans="2:18" x14ac:dyDescent="0.25">
      <c r="B44" t="str">
        <f t="shared" si="1"/>
        <v>Kilwe</v>
      </c>
      <c r="C44" s="44"/>
      <c r="D44" s="32"/>
      <c r="E44" s="32"/>
      <c r="F44" t="str" cm="1">
        <f t="array" ref="F44">IF(COUNTIF(Transporters_Used, Table34[[#This Row],[Transporter]]) &gt; 0, "Active", "Inactive")</f>
        <v>Inactive</v>
      </c>
      <c r="R44" t="str">
        <v>Net Logistics</v>
      </c>
    </row>
    <row r="45" spans="2:18" x14ac:dyDescent="0.25">
      <c r="B45" t="str">
        <f t="shared" si="1"/>
        <v>KSSG Distributors</v>
      </c>
      <c r="C45" s="44"/>
      <c r="D45" s="32"/>
      <c r="E45" s="32"/>
      <c r="F45" t="str" cm="1">
        <f t="array" ref="F45">IF(COUNTIF(Transporters_Used, Table34[[#This Row],[Transporter]]) &gt; 0, "Active", "Inactive")</f>
        <v>Inactive</v>
      </c>
      <c r="R45" t="str">
        <v>Overland</v>
      </c>
    </row>
    <row r="46" spans="2:18" x14ac:dyDescent="0.25">
      <c r="B46" t="str">
        <f t="shared" si="1"/>
        <v>Lisukile</v>
      </c>
      <c r="C46" s="44"/>
      <c r="D46" s="32"/>
      <c r="E46" s="32"/>
      <c r="F46" t="str" cm="1">
        <f t="array" ref="F46">IF(COUNTIF(Transporters_Used, Table34[[#This Row],[Transporter]]) &gt; 0, "Active", "Inactive")</f>
        <v>Inactive</v>
      </c>
      <c r="R46" t="str">
        <v>R.K Chudasama</v>
      </c>
    </row>
    <row r="47" spans="2:18" x14ac:dyDescent="0.25">
      <c r="B47" t="str">
        <f t="shared" si="1"/>
        <v>Load Master</v>
      </c>
      <c r="C47" s="44"/>
      <c r="D47" s="32"/>
      <c r="E47" s="32"/>
      <c r="F47" t="str" cm="1">
        <f t="array" ref="F47">IF(COUNTIF(Transporters_Used, Table34[[#This Row],[Transporter]]) &gt; 0, "Active", "Inactive")</f>
        <v>Inactive</v>
      </c>
      <c r="R47" t="str">
        <v>Raina</v>
      </c>
    </row>
    <row r="48" spans="2:18" x14ac:dyDescent="0.25">
      <c r="B48" t="str">
        <f t="shared" si="1"/>
        <v>Merzario</v>
      </c>
      <c r="C48" s="44"/>
      <c r="D48" s="32"/>
      <c r="E48" s="32"/>
      <c r="F48" t="str" cm="1">
        <f t="array" ref="F48">IF(COUNTIF(Transporters_Used, Table34[[#This Row],[Transporter]]) &gt; 0, "Active", "Inactive")</f>
        <v>Inactive</v>
      </c>
      <c r="R48" t="str">
        <v>RDM</v>
      </c>
    </row>
    <row r="49" spans="2:18" x14ac:dyDescent="0.25">
      <c r="B49" t="str">
        <f t="shared" si="1"/>
        <v>MSA Freight</v>
      </c>
      <c r="C49" s="44"/>
      <c r="D49" s="32"/>
      <c r="E49" s="32"/>
      <c r="F49" t="str" cm="1">
        <f t="array" ref="F49">IF(COUNTIF(Transporters_Used, Table34[[#This Row],[Transporter]]) &gt; 0, "Active", "Inactive")</f>
        <v>Inactive</v>
      </c>
      <c r="R49" t="str">
        <v>Red Cherry Clothing</v>
      </c>
    </row>
    <row r="50" spans="2:18" x14ac:dyDescent="0.25">
      <c r="B50" t="str">
        <f t="shared" si="1"/>
        <v>Net Logistics</v>
      </c>
      <c r="C50" s="44"/>
      <c r="D50" s="32"/>
      <c r="E50" s="32"/>
      <c r="F50" t="str" cm="1">
        <f t="array" ref="F50">IF(COUNTIF(Transporters_Used, Table34[[#This Row],[Transporter]]) &gt; 0, "Active", "Inactive")</f>
        <v>Inactive</v>
      </c>
      <c r="R50" t="str">
        <v>Reload</v>
      </c>
    </row>
    <row r="51" spans="2:18" x14ac:dyDescent="0.25">
      <c r="B51" t="str">
        <f t="shared" si="1"/>
        <v>Overland</v>
      </c>
      <c r="C51" s="44"/>
      <c r="D51" s="32"/>
      <c r="E51" s="32"/>
      <c r="F51" t="str" cm="1">
        <f t="array" ref="F51">IF(COUNTIF(Transporters_Used, Table34[[#This Row],[Transporter]]) &gt; 0, "Active", "Inactive")</f>
        <v>Inactive</v>
      </c>
      <c r="R51" t="str">
        <v>RGPM</v>
      </c>
    </row>
    <row r="52" spans="2:18" x14ac:dyDescent="0.25">
      <c r="B52" t="str">
        <f t="shared" si="1"/>
        <v>R.K Chudasama</v>
      </c>
      <c r="C52" s="44"/>
      <c r="D52" s="32"/>
      <c r="E52" s="32"/>
      <c r="F52" t="str" cm="1">
        <f t="array" ref="F52">IF(COUNTIF(Transporters_Used, Table34[[#This Row],[Transporter]]) &gt; 0, "Active", "Inactive")</f>
        <v>Inactive</v>
      </c>
      <c r="R52" t="str">
        <v>Royal Clearing Company</v>
      </c>
    </row>
    <row r="53" spans="2:18" x14ac:dyDescent="0.25">
      <c r="B53" t="str">
        <f t="shared" si="1"/>
        <v>Raina</v>
      </c>
      <c r="C53" s="44"/>
      <c r="D53" s="32"/>
      <c r="E53" s="32"/>
      <c r="F53" t="str" cm="1">
        <f t="array" ref="F53">IF(COUNTIF(Transporters_Used, Table34[[#This Row],[Transporter]]) &gt; 0, "Active", "Inactive")</f>
        <v>Inactive</v>
      </c>
      <c r="R53" t="str">
        <v>RS Freight</v>
      </c>
    </row>
    <row r="54" spans="2:18" x14ac:dyDescent="0.25">
      <c r="B54" t="str">
        <f t="shared" si="1"/>
        <v>RDM</v>
      </c>
      <c r="C54" s="44"/>
      <c r="D54" s="32"/>
      <c r="E54" s="32"/>
      <c r="F54" t="str" cm="1">
        <f t="array" ref="F54">IF(COUNTIF(Transporters_Used, Table34[[#This Row],[Transporter]]) &gt; 0, "Active", "Inactive")</f>
        <v>Inactive</v>
      </c>
      <c r="R54" t="str">
        <v>Sabot</v>
      </c>
    </row>
    <row r="55" spans="2:18" x14ac:dyDescent="0.25">
      <c r="B55" t="str">
        <f t="shared" si="1"/>
        <v>Red Cherry Clothing</v>
      </c>
      <c r="C55" s="44"/>
      <c r="D55" s="32"/>
      <c r="E55" s="32"/>
      <c r="F55" t="str" cm="1">
        <f t="array" ref="F55">IF(COUNTIF(Transporters_Used, Table34[[#This Row],[Transporter]]) &gt; 0, "Active", "Inactive")</f>
        <v>Inactive</v>
      </c>
      <c r="R55" t="str">
        <v>Sarazi Logistics</v>
      </c>
    </row>
    <row r="56" spans="2:18" x14ac:dyDescent="0.25">
      <c r="B56" t="str">
        <f t="shared" si="1"/>
        <v>Reload</v>
      </c>
      <c r="C56" s="44"/>
      <c r="D56" s="32"/>
      <c r="E56" s="32"/>
      <c r="F56" t="str" cm="1">
        <f t="array" ref="F56">IF(COUNTIF(Transporters_Used, Table34[[#This Row],[Transporter]]) &gt; 0, "Active", "Inactive")</f>
        <v>Inactive</v>
      </c>
      <c r="R56" t="str">
        <v>Sayijikalento Logistics</v>
      </c>
    </row>
    <row r="57" spans="2:18" x14ac:dyDescent="0.25">
      <c r="B57" t="str">
        <f t="shared" si="1"/>
        <v>RGPM</v>
      </c>
      <c r="C57" s="44"/>
      <c r="D57" s="32"/>
      <c r="E57" s="32"/>
      <c r="F57" t="str" cm="1">
        <f t="array" ref="F57">IF(COUNTIF(Transporters_Used, Table34[[#This Row],[Transporter]]) &gt; 0, "Active", "Inactive")</f>
        <v>Inactive</v>
      </c>
      <c r="R57" t="str">
        <v>SGC</v>
      </c>
    </row>
    <row r="58" spans="2:18" x14ac:dyDescent="0.25">
      <c r="B58" t="str">
        <f t="shared" si="1"/>
        <v>Royal Clearing Company</v>
      </c>
      <c r="C58" s="44"/>
      <c r="D58" s="32"/>
      <c r="E58" s="32"/>
      <c r="F58" t="str" cm="1">
        <f t="array" ref="F58">IF(COUNTIF(Transporters_Used, Table34[[#This Row],[Transporter]]) &gt; 0, "Active", "Inactive")</f>
        <v>Inactive</v>
      </c>
      <c r="R58" t="str">
        <v>SKAR Freight</v>
      </c>
    </row>
    <row r="59" spans="2:18" x14ac:dyDescent="0.25">
      <c r="B59" t="str">
        <f t="shared" si="1"/>
        <v>RS Freight</v>
      </c>
      <c r="C59" s="44"/>
      <c r="D59" s="32"/>
      <c r="E59" s="32"/>
      <c r="F59" t="str" cm="1">
        <f t="array" ref="F59">IF(COUNTIF(Transporters_Used, Table34[[#This Row],[Transporter]]) &gt; 0, "Active", "Inactive")</f>
        <v>Inactive</v>
      </c>
      <c r="R59" t="str">
        <v>SLS</v>
      </c>
    </row>
    <row r="60" spans="2:18" x14ac:dyDescent="0.25">
      <c r="B60" t="str">
        <f t="shared" si="1"/>
        <v>Sabot</v>
      </c>
      <c r="C60" s="44"/>
      <c r="D60" s="32"/>
      <c r="E60" s="32"/>
      <c r="F60" t="str" cm="1">
        <f t="array" ref="F60">IF(COUNTIF(Transporters_Used, Table34[[#This Row],[Transporter]]) &gt; 0, "Active", "Inactive")</f>
        <v>Inactive</v>
      </c>
      <c r="R60" t="str">
        <v>Spring Green Trading</v>
      </c>
    </row>
    <row r="61" spans="2:18" x14ac:dyDescent="0.25">
      <c r="B61" t="str">
        <f t="shared" si="1"/>
        <v>Sarazi Logistics</v>
      </c>
      <c r="C61" s="44"/>
      <c r="D61" s="32"/>
      <c r="E61" s="32"/>
      <c r="F61" t="str" cm="1">
        <f t="array" ref="F61">IF(COUNTIF(Transporters_Used, Table34[[#This Row],[Transporter]]) &gt; 0, "Active", "Inactive")</f>
        <v>Inactive</v>
      </c>
      <c r="R61" t="str">
        <v>Strauss</v>
      </c>
    </row>
    <row r="62" spans="2:18" x14ac:dyDescent="0.25">
      <c r="B62" t="str">
        <f t="shared" si="1"/>
        <v>Sayijikalento Logistics</v>
      </c>
      <c r="C62" s="44"/>
      <c r="D62" s="32"/>
      <c r="E62" s="32"/>
      <c r="F62" t="str" cm="1">
        <f t="array" ref="F62">IF(COUNTIF(Transporters_Used, Table34[[#This Row],[Transporter]]) &gt; 0, "Active", "Inactive")</f>
        <v>Inactive</v>
      </c>
      <c r="R62" t="str">
        <v>Supplier</v>
      </c>
    </row>
    <row r="63" spans="2:18" x14ac:dyDescent="0.25">
      <c r="B63" t="str">
        <f t="shared" si="1"/>
        <v>SGC</v>
      </c>
      <c r="C63" s="44"/>
      <c r="D63" s="32"/>
      <c r="E63" s="32"/>
      <c r="F63" t="str" cm="1">
        <f t="array" ref="F63">IF(COUNTIF(Transporters_Used, Table34[[#This Row],[Transporter]]) &gt; 0, "Active", "Inactive")</f>
        <v>Inactive</v>
      </c>
      <c r="R63" t="str">
        <v>T H Holding</v>
      </c>
    </row>
    <row r="64" spans="2:18" x14ac:dyDescent="0.25">
      <c r="B64" t="str">
        <f t="shared" si="1"/>
        <v>SKAR Freight</v>
      </c>
      <c r="C64" s="44"/>
      <c r="D64" s="32"/>
      <c r="E64" s="32"/>
      <c r="F64" t="str" cm="1">
        <f t="array" ref="F64">IF(COUNTIF(Transporters_Used, Table34[[#This Row],[Transporter]]) &gt; 0, "Active", "Inactive")</f>
        <v>Inactive</v>
      </c>
      <c r="R64" t="str">
        <v>TAC</v>
      </c>
    </row>
    <row r="65" spans="2:18" x14ac:dyDescent="0.25">
      <c r="B65" t="str">
        <f t="shared" si="1"/>
        <v>SLS</v>
      </c>
      <c r="C65" s="44"/>
      <c r="D65" s="32"/>
      <c r="E65" s="32"/>
      <c r="F65" t="str" cm="1">
        <f t="array" ref="F65">IF(COUNTIF(Transporters_Used, Table34[[#This Row],[Transporter]]) &gt; 0, "Active", "Inactive")</f>
        <v>Inactive</v>
      </c>
      <c r="R65" t="str">
        <v>Tahmeed Coach</v>
      </c>
    </row>
    <row r="66" spans="2:18" x14ac:dyDescent="0.25">
      <c r="B66" t="str">
        <f t="shared" si="1"/>
        <v>Spring Green Trading</v>
      </c>
      <c r="C66" s="44"/>
      <c r="D66" s="32"/>
      <c r="E66" s="32"/>
      <c r="F66" t="str" cm="1">
        <f t="array" ref="F66">IF(COUNTIF(Transporters_Used, Table34[[#This Row],[Transporter]]) &gt; 0, "Active", "Inactive")</f>
        <v>Inactive</v>
      </c>
      <c r="R66" t="str">
        <v>Tengwa</v>
      </c>
    </row>
    <row r="67" spans="2:18" x14ac:dyDescent="0.25">
      <c r="B67" t="str">
        <f t="shared" si="1"/>
        <v>Strauss</v>
      </c>
      <c r="C67" s="44"/>
      <c r="D67" s="32"/>
      <c r="E67" s="32"/>
      <c r="F67" t="str" cm="1">
        <f t="array" ref="F67">IF(COUNTIF(Transporters_Used, Table34[[#This Row],[Transporter]]) &gt; 0, "Active", "Inactive")</f>
        <v>Inactive</v>
      </c>
      <c r="R67" t="str">
        <v>Transcargo</v>
      </c>
    </row>
    <row r="68" spans="2:18" x14ac:dyDescent="0.25">
      <c r="B68" t="str">
        <f t="shared" si="1"/>
        <v>Supplier</v>
      </c>
      <c r="C68" s="44"/>
      <c r="D68" s="32"/>
      <c r="E68" s="32"/>
      <c r="F68" t="str" cm="1">
        <f t="array" ref="F68">IF(COUNTIF(Transporters_Used, Table34[[#This Row],[Transporter]]) &gt; 0, "Active", "Inactive")</f>
        <v>Inactive</v>
      </c>
      <c r="R68" t="str">
        <v>Transsa</v>
      </c>
    </row>
    <row r="69" spans="2:18" x14ac:dyDescent="0.25">
      <c r="B69" t="str">
        <f t="shared" si="1"/>
        <v>T H Holding</v>
      </c>
      <c r="C69" s="44"/>
      <c r="D69" s="32"/>
      <c r="E69" s="32"/>
      <c r="F69" t="str" cm="1">
        <f t="array" ref="F69">IF(COUNTIF(Transporters_Used, Table34[[#This Row],[Transporter]]) &gt; 0, "Active", "Inactive")</f>
        <v>Inactive</v>
      </c>
      <c r="R69" t="str">
        <v>Tribal Logistics</v>
      </c>
    </row>
    <row r="70" spans="2:18" x14ac:dyDescent="0.25">
      <c r="B70" t="str">
        <f t="shared" si="1"/>
        <v>TAC</v>
      </c>
      <c r="C70" s="44"/>
      <c r="D70" s="32"/>
      <c r="E70" s="32"/>
      <c r="F70" t="str" cm="1">
        <f t="array" ref="F70">IF(COUNTIF(Transporters_Used, Table34[[#This Row],[Transporter]]) &gt; 0, "Active", "Inactive")</f>
        <v>Inactive</v>
      </c>
      <c r="R70" t="str">
        <v>Unitrans</v>
      </c>
    </row>
    <row r="71" spans="2:18" x14ac:dyDescent="0.25">
      <c r="B71" t="str">
        <f t="shared" si="1"/>
        <v>Tahmeed Coach</v>
      </c>
      <c r="C71" s="44"/>
      <c r="D71" s="32"/>
      <c r="E71" s="32"/>
      <c r="F71" t="str" cm="1">
        <f t="array" ref="F71">IF(COUNTIF(Transporters_Used, Table34[[#This Row],[Transporter]]) &gt; 0, "Active", "Inactive")</f>
        <v>Inactive</v>
      </c>
      <c r="R71" t="str">
        <v>Usethubeni Transport</v>
      </c>
    </row>
    <row r="72" spans="2:18" x14ac:dyDescent="0.25">
      <c r="B72" t="str">
        <f t="shared" ref="B72:B103" si="2">R66</f>
        <v>Tengwa</v>
      </c>
      <c r="C72" s="44"/>
      <c r="D72" s="32"/>
      <c r="E72" s="32"/>
      <c r="F72" t="str" cm="1">
        <f t="array" ref="F72">IF(COUNTIF(Transporters_Used, Table34[[#This Row],[Transporter]]) &gt; 0, "Active", "Inactive")</f>
        <v>Inactive</v>
      </c>
      <c r="R72" t="str">
        <v>WBCT</v>
      </c>
    </row>
    <row r="73" spans="2:18" x14ac:dyDescent="0.25">
      <c r="B73" t="str">
        <f t="shared" si="2"/>
        <v>Transcargo</v>
      </c>
      <c r="C73" s="44"/>
      <c r="D73" s="32"/>
      <c r="E73" s="32"/>
      <c r="F73" t="str" cm="1">
        <f t="array" ref="F73">IF(COUNTIF(Transporters_Used, Table34[[#This Row],[Transporter]]) &gt; 0, "Active", "Inactive")</f>
        <v>Inactive</v>
      </c>
      <c r="R73" t="str">
        <v>Wesbank</v>
      </c>
    </row>
    <row r="74" spans="2:18" x14ac:dyDescent="0.25">
      <c r="B74" t="str">
        <f t="shared" si="2"/>
        <v>Transsa</v>
      </c>
      <c r="C74" s="44"/>
      <c r="D74" s="32"/>
      <c r="E74" s="32"/>
      <c r="F74" t="str" cm="1">
        <f t="array" ref="F74">IF(COUNTIF(Transporters_Used, Table34[[#This Row],[Transporter]]) &gt; 0, "Active", "Inactive")</f>
        <v>Inactive</v>
      </c>
      <c r="R74" t="str">
        <v>West to East</v>
      </c>
    </row>
    <row r="75" spans="2:18" x14ac:dyDescent="0.25">
      <c r="B75" t="str">
        <f t="shared" si="2"/>
        <v>Tribal Logistics</v>
      </c>
      <c r="C75" s="44"/>
      <c r="D75" s="32"/>
      <c r="E75" s="32"/>
      <c r="F75" t="str" cm="1">
        <f t="array" ref="F75">IF(COUNTIF(Transporters_Used, Table34[[#This Row],[Transporter]]) &gt; 0, "Active", "Inactive")</f>
        <v>Inactive</v>
      </c>
      <c r="R75" t="str">
        <v>Woker Freight Services</v>
      </c>
    </row>
    <row r="76" spans="2:18" x14ac:dyDescent="0.25">
      <c r="B76" t="str">
        <f t="shared" si="2"/>
        <v>Unitrans</v>
      </c>
      <c r="C76" s="44"/>
      <c r="D76" s="32"/>
      <c r="E76" s="32"/>
      <c r="F76" t="str" cm="1">
        <f t="array" ref="F76">IF(COUNTIF(Transporters_Used, Table34[[#This Row],[Transporter]]) &gt; 0, "Active", "Inactive")</f>
        <v>Inactive</v>
      </c>
      <c r="R76" t="str">
        <v>Zamland</v>
      </c>
    </row>
    <row r="77" spans="2:18" x14ac:dyDescent="0.25">
      <c r="B77" t="str">
        <f t="shared" si="2"/>
        <v>Usethubeni Transport</v>
      </c>
      <c r="C77" s="44"/>
      <c r="D77" s="32"/>
      <c r="E77" s="32"/>
      <c r="F77" t="str" cm="1">
        <f t="array" ref="F77">IF(COUNTIF(Transporters_Used, Table34[[#This Row],[Transporter]]) &gt; 0, "Active", "Inactive")</f>
        <v>Inactive</v>
      </c>
      <c r="R77" t="str">
        <v>Zim Sellink</v>
      </c>
    </row>
    <row r="78" spans="2:18" x14ac:dyDescent="0.25">
      <c r="B78" t="str">
        <f t="shared" si="2"/>
        <v>WBCT</v>
      </c>
      <c r="C78" s="44"/>
      <c r="D78" s="32"/>
      <c r="E78" s="32"/>
      <c r="F78" t="str" cm="1">
        <f t="array" ref="F78">IF(COUNTIF(Transporters_Used, Table34[[#This Row],[Transporter]]) &gt; 0, "Active", "Inactive")</f>
        <v>Inactive</v>
      </c>
      <c r="R78" t="str">
        <v>Zimbulk</v>
      </c>
    </row>
    <row r="79" spans="2:18" x14ac:dyDescent="0.25">
      <c r="B79" t="str">
        <f t="shared" si="2"/>
        <v>Wesbank</v>
      </c>
      <c r="C79" s="44"/>
      <c r="D79" s="32"/>
      <c r="E79" s="32"/>
      <c r="F79" t="str" cm="1">
        <f t="array" ref="F79">IF(COUNTIF(Transporters_Used, Table34[[#This Row],[Transporter]]) &gt; 0, "Active", "Inactive")</f>
        <v>Inactive</v>
      </c>
    </row>
    <row r="80" spans="2:18" x14ac:dyDescent="0.25">
      <c r="B80" t="str">
        <f t="shared" si="2"/>
        <v>West to East</v>
      </c>
      <c r="C80" s="44"/>
      <c r="D80" s="32"/>
      <c r="E80" s="32"/>
      <c r="F80" t="str" cm="1">
        <f t="array" ref="F80">IF(COUNTIF(Transporters_Used, Table34[[#This Row],[Transporter]]) &gt; 0, "Active", "Inactive")</f>
        <v>Inactive</v>
      </c>
    </row>
    <row r="81" spans="2:6" x14ac:dyDescent="0.25">
      <c r="B81" t="str">
        <f t="shared" si="2"/>
        <v>Woker Freight Services</v>
      </c>
      <c r="C81" s="44"/>
      <c r="D81" s="32"/>
      <c r="E81" s="32"/>
      <c r="F81" t="str" cm="1">
        <f t="array" ref="F81">IF(COUNTIF(Transporters_Used, Table34[[#This Row],[Transporter]]) &gt; 0, "Active", "Inactive")</f>
        <v>Inactive</v>
      </c>
    </row>
    <row r="82" spans="2:6" x14ac:dyDescent="0.25">
      <c r="B82" t="str">
        <f t="shared" si="2"/>
        <v>Zamland</v>
      </c>
      <c r="C82" s="44"/>
      <c r="D82" s="32"/>
      <c r="E82" s="32"/>
      <c r="F82" t="str" cm="1">
        <f t="array" ref="F82">IF(COUNTIF(Transporters_Used, Table34[[#This Row],[Transporter]]) &gt; 0, "Active", "Inactive")</f>
        <v>Inactive</v>
      </c>
    </row>
    <row r="83" spans="2:6" x14ac:dyDescent="0.25">
      <c r="B83" t="str">
        <f t="shared" si="2"/>
        <v>Zim Sellink</v>
      </c>
      <c r="C83" s="44"/>
      <c r="D83" s="32"/>
      <c r="E83" s="32"/>
      <c r="F83" t="str" cm="1">
        <f t="array" ref="F83">IF(COUNTIF(Transporters_Used, Table34[[#This Row],[Transporter]]) &gt; 0, "Active", "Inactive")</f>
        <v>Inactive</v>
      </c>
    </row>
    <row r="84" spans="2:6" x14ac:dyDescent="0.25">
      <c r="B84" t="str">
        <f t="shared" si="2"/>
        <v>Zimbulk</v>
      </c>
      <c r="C84" s="44"/>
      <c r="D84" s="32"/>
      <c r="E84" s="32"/>
      <c r="F84" t="str" cm="1">
        <f t="array" ref="F84">IF(COUNTIF(Transporters_Used, Table34[[#This Row],[Transporter]]) &gt; 0, "Active", "Inactive")</f>
        <v>Inactive</v>
      </c>
    </row>
    <row r="85" spans="2:6" x14ac:dyDescent="0.25">
      <c r="B85">
        <f t="shared" si="2"/>
        <v>0</v>
      </c>
      <c r="C85" s="44"/>
      <c r="D85" s="32"/>
      <c r="E85" s="32"/>
      <c r="F85" t="str" cm="1">
        <f t="array" ref="F85">IF(COUNTIF(Transporters_Used, Table34[[#This Row],[Transporter]]) &gt; 0, "Active", "Inactive")</f>
        <v>Inactive</v>
      </c>
    </row>
    <row r="86" spans="2:6" x14ac:dyDescent="0.25">
      <c r="B86">
        <f t="shared" si="2"/>
        <v>0</v>
      </c>
      <c r="C86" s="44"/>
      <c r="D86" s="32"/>
      <c r="E86" s="32"/>
      <c r="F86" t="str" cm="1">
        <f t="array" ref="F86">IF(COUNTIF(Transporters_Used, Table34[[#This Row],[Transporter]]) &gt; 0, "Active", "Inactive")</f>
        <v>Inactive</v>
      </c>
    </row>
    <row r="87" spans="2:6" x14ac:dyDescent="0.25">
      <c r="B87">
        <f t="shared" si="2"/>
        <v>0</v>
      </c>
      <c r="C87" s="44"/>
      <c r="D87" s="32"/>
      <c r="E87" s="32"/>
      <c r="F87" t="str" cm="1">
        <f t="array" ref="F87">IF(COUNTIF(Transporters_Used, Table34[[#This Row],[Transporter]]) &gt; 0, "Active", "Inactive")</f>
        <v>Inactive</v>
      </c>
    </row>
    <row r="88" spans="2:6" x14ac:dyDescent="0.25">
      <c r="B88">
        <f t="shared" si="2"/>
        <v>0</v>
      </c>
      <c r="C88" s="44"/>
      <c r="D88" s="32"/>
      <c r="E88" s="32"/>
      <c r="F88" t="str" cm="1">
        <f t="array" ref="F88">IF(COUNTIF(Transporters_Used, Table34[[#This Row],[Transporter]]) &gt; 0, "Active", "Inactive")</f>
        <v>Inactive</v>
      </c>
    </row>
    <row r="89" spans="2:6" x14ac:dyDescent="0.25">
      <c r="B89">
        <f t="shared" si="2"/>
        <v>0</v>
      </c>
      <c r="C89" s="44"/>
      <c r="D89" s="32"/>
      <c r="E89" s="32"/>
      <c r="F89" t="str" cm="1">
        <f t="array" ref="F89">IF(COUNTIF(Transporters_Used, Table34[[#This Row],[Transporter]]) &gt; 0, "Active", "Inactive")</f>
        <v>Inactive</v>
      </c>
    </row>
    <row r="90" spans="2:6" x14ac:dyDescent="0.25">
      <c r="B90">
        <f t="shared" si="2"/>
        <v>0</v>
      </c>
      <c r="C90" s="44"/>
      <c r="D90" s="32"/>
      <c r="E90" s="32"/>
      <c r="F90" t="str" cm="1">
        <f t="array" ref="F90">IF(COUNTIF(Transporters_Used, Table34[[#This Row],[Transporter]]) &gt; 0, "Active", "Inactive")</f>
        <v>Inactive</v>
      </c>
    </row>
    <row r="91" spans="2:6" x14ac:dyDescent="0.25">
      <c r="B91">
        <f t="shared" si="2"/>
        <v>0</v>
      </c>
      <c r="C91" s="44"/>
      <c r="D91" s="32"/>
      <c r="E91" s="32"/>
      <c r="F91" t="str" cm="1">
        <f t="array" ref="F91">IF(COUNTIF(Transporters_Used, Table34[[#This Row],[Transporter]]) &gt; 0, "Active", "Inactive")</f>
        <v>Inactive</v>
      </c>
    </row>
    <row r="92" spans="2:6" x14ac:dyDescent="0.25">
      <c r="B92">
        <f t="shared" si="2"/>
        <v>0</v>
      </c>
      <c r="C92" s="44"/>
      <c r="D92" s="32"/>
      <c r="E92" s="32"/>
      <c r="F92" t="str" cm="1">
        <f t="array" ref="F92">IF(COUNTIF(Transporters_Used, Table34[[#This Row],[Transporter]]) &gt; 0, "Active", "Inactive")</f>
        <v>Inactive</v>
      </c>
    </row>
    <row r="93" spans="2:6" x14ac:dyDescent="0.25">
      <c r="B93">
        <f t="shared" si="2"/>
        <v>0</v>
      </c>
      <c r="C93" s="44"/>
      <c r="D93" s="32"/>
      <c r="E93" s="32"/>
      <c r="F93" t="str" cm="1">
        <f t="array" ref="F93">IF(COUNTIF(Transporters_Used, Table34[[#This Row],[Transporter]]) &gt; 0, "Active", "Inactive")</f>
        <v>Inactive</v>
      </c>
    </row>
    <row r="94" spans="2:6" x14ac:dyDescent="0.25">
      <c r="B94">
        <f t="shared" si="2"/>
        <v>0</v>
      </c>
      <c r="C94" s="44"/>
      <c r="D94" s="32"/>
      <c r="E94" s="32"/>
      <c r="F94" t="str" cm="1">
        <f t="array" ref="F94">IF(COUNTIF(Transporters_Used, Table34[[#This Row],[Transporter]]) &gt; 0, "Active", "Inactive")</f>
        <v>Inactive</v>
      </c>
    </row>
    <row r="95" spans="2:6" x14ac:dyDescent="0.25">
      <c r="B95">
        <f t="shared" si="2"/>
        <v>0</v>
      </c>
      <c r="C95" s="44"/>
      <c r="D95" s="32"/>
      <c r="E95" s="32"/>
      <c r="F95" t="str" cm="1">
        <f t="array" ref="F95">IF(COUNTIF(Transporters_Used, Table34[[#This Row],[Transporter]]) &gt; 0, "Active", "Inactive")</f>
        <v>Inactive</v>
      </c>
    </row>
    <row r="96" spans="2:6" x14ac:dyDescent="0.25">
      <c r="B96">
        <f t="shared" si="2"/>
        <v>0</v>
      </c>
      <c r="C96" s="44"/>
      <c r="D96" s="32"/>
      <c r="E96" s="32"/>
      <c r="F96" t="str" cm="1">
        <f t="array" ref="F96">IF(COUNTIF(Transporters_Used, Table34[[#This Row],[Transporter]]) &gt; 0, "Active", "Inactive")</f>
        <v>Inactive</v>
      </c>
    </row>
    <row r="97" spans="2:6" x14ac:dyDescent="0.25">
      <c r="B97">
        <f t="shared" si="2"/>
        <v>0</v>
      </c>
      <c r="C97" s="44"/>
      <c r="D97" s="32"/>
      <c r="E97" s="32"/>
      <c r="F97" t="str" cm="1">
        <f t="array" ref="F97">IF(COUNTIF(Transporters_Used, Table34[[#This Row],[Transporter]]) &gt; 0, "Active", "Inactive")</f>
        <v>Inactive</v>
      </c>
    </row>
    <row r="98" spans="2:6" x14ac:dyDescent="0.25">
      <c r="B98">
        <f t="shared" si="2"/>
        <v>0</v>
      </c>
      <c r="C98" s="44"/>
      <c r="D98" s="32"/>
      <c r="E98" s="32"/>
      <c r="F98" t="str" cm="1">
        <f t="array" ref="F98">IF(COUNTIF(Transporters_Used, Table34[[#This Row],[Transporter]]) &gt; 0, "Active", "Inactive")</f>
        <v>Inactive</v>
      </c>
    </row>
    <row r="99" spans="2:6" x14ac:dyDescent="0.25">
      <c r="B99">
        <f t="shared" si="2"/>
        <v>0</v>
      </c>
      <c r="C99" s="44"/>
      <c r="D99" s="32"/>
      <c r="E99" s="32"/>
      <c r="F99" t="str" cm="1">
        <f t="array" ref="F99">IF(COUNTIF(Transporters_Used, Table34[[#This Row],[Transporter]]) &gt; 0, "Active", "Inactive")</f>
        <v>Inactive</v>
      </c>
    </row>
    <row r="100" spans="2:6" x14ac:dyDescent="0.25">
      <c r="B100">
        <f t="shared" si="2"/>
        <v>0</v>
      </c>
      <c r="C100" s="44"/>
      <c r="D100" s="32"/>
      <c r="E100" s="32"/>
      <c r="F100" t="str" cm="1">
        <f t="array" ref="F100">IF(COUNTIF(Transporters_Used, Table34[[#This Row],[Transporter]]) &gt; 0, "Active", "Inactive")</f>
        <v>Inactive</v>
      </c>
    </row>
    <row r="101" spans="2:6" x14ac:dyDescent="0.25">
      <c r="B101">
        <f t="shared" si="2"/>
        <v>0</v>
      </c>
      <c r="C101" s="44"/>
      <c r="D101" s="32"/>
      <c r="E101" s="32"/>
      <c r="F101" t="str" cm="1">
        <f t="array" ref="F101">IF(COUNTIF(Transporters_Used, Table34[[#This Row],[Transporter]]) &gt; 0, "Active", "Inactive")</f>
        <v>Inactive</v>
      </c>
    </row>
    <row r="102" spans="2:6" x14ac:dyDescent="0.25">
      <c r="B102">
        <f t="shared" si="2"/>
        <v>0</v>
      </c>
      <c r="C102" s="44"/>
      <c r="D102" s="32"/>
      <c r="E102" s="32"/>
      <c r="F102" t="str" cm="1">
        <f t="array" ref="F102">IF(COUNTIF(Transporters_Used, Table34[[#This Row],[Transporter]]) &gt; 0, "Active", "Inactive")</f>
        <v>Inactive</v>
      </c>
    </row>
    <row r="103" spans="2:6" x14ac:dyDescent="0.25">
      <c r="B103">
        <f t="shared" si="2"/>
        <v>0</v>
      </c>
      <c r="C103" s="44"/>
      <c r="D103" s="32"/>
      <c r="E103" s="32"/>
      <c r="F103" t="str" cm="1">
        <f t="array" ref="F103">IF(COUNTIF(Transporters_Used, Table34[[#This Row],[Transporter]]) &gt; 0, "Active", "Inactive")</f>
        <v>Inactive</v>
      </c>
    </row>
    <row r="104" spans="2:6" x14ac:dyDescent="0.25">
      <c r="B104">
        <f t="shared" ref="B104:B135" si="3">R98</f>
        <v>0</v>
      </c>
      <c r="C104" s="44"/>
      <c r="D104" s="32"/>
      <c r="E104" s="32"/>
      <c r="F104" t="str" cm="1">
        <f t="array" ref="F104">IF(COUNTIF(Transporters_Used, Table34[[#This Row],[Transporter]]) &gt; 0, "Active", "Inactive")</f>
        <v>Inactive</v>
      </c>
    </row>
    <row r="105" spans="2:6" x14ac:dyDescent="0.25">
      <c r="B105">
        <f t="shared" si="3"/>
        <v>0</v>
      </c>
      <c r="C105" s="44"/>
      <c r="D105" s="32"/>
      <c r="E105" s="32"/>
      <c r="F105" t="str" cm="1">
        <f t="array" ref="F105">IF(COUNTIF(Transporters_Used, Table34[[#This Row],[Transporter]]) &gt; 0, "Active", "Inactive")</f>
        <v>Inactive</v>
      </c>
    </row>
    <row r="106" spans="2:6" x14ac:dyDescent="0.25">
      <c r="B106">
        <f t="shared" si="3"/>
        <v>0</v>
      </c>
      <c r="C106" s="44"/>
      <c r="D106" s="32"/>
      <c r="E106" s="32"/>
      <c r="F106" t="str" cm="1">
        <f t="array" ref="F106">IF(COUNTIF(Transporters_Used, Table34[[#This Row],[Transporter]]) &gt; 0, "Active", "Inactive")</f>
        <v>Inactive</v>
      </c>
    </row>
    <row r="107" spans="2:6" x14ac:dyDescent="0.25">
      <c r="B107">
        <f t="shared" si="3"/>
        <v>0</v>
      </c>
      <c r="C107" s="44"/>
      <c r="D107" s="32"/>
      <c r="E107" s="32"/>
      <c r="F107" t="str" cm="1">
        <f t="array" ref="F107">IF(COUNTIF(Transporters_Used, Table34[[#This Row],[Transporter]]) &gt; 0, "Active", "Inactive")</f>
        <v>Inactive</v>
      </c>
    </row>
    <row r="108" spans="2:6" x14ac:dyDescent="0.25">
      <c r="B108">
        <f t="shared" si="3"/>
        <v>0</v>
      </c>
      <c r="C108" s="44"/>
      <c r="D108" s="32"/>
      <c r="E108" s="32"/>
      <c r="F108" t="str" cm="1">
        <f t="array" ref="F108">IF(COUNTIF(Transporters_Used, Table34[[#This Row],[Transporter]]) &gt; 0, "Active", "Inactive")</f>
        <v>Inactive</v>
      </c>
    </row>
    <row r="109" spans="2:6" x14ac:dyDescent="0.25">
      <c r="B109">
        <f t="shared" si="3"/>
        <v>0</v>
      </c>
      <c r="C109" s="44"/>
      <c r="D109" s="32"/>
      <c r="E109" s="32"/>
      <c r="F109" t="str" cm="1">
        <f t="array" ref="F109">IF(COUNTIF(Transporters_Used, Table34[[#This Row],[Transporter]]) &gt; 0, "Active", "Inactive")</f>
        <v>Inactive</v>
      </c>
    </row>
    <row r="110" spans="2:6" x14ac:dyDescent="0.25">
      <c r="B110">
        <f t="shared" si="3"/>
        <v>0</v>
      </c>
      <c r="C110" s="44"/>
      <c r="D110" s="32"/>
      <c r="E110" s="32"/>
      <c r="F110" t="str" cm="1">
        <f t="array" ref="F110">IF(COUNTIF(Transporters_Used, Table34[[#This Row],[Transporter]]) &gt; 0, "Active", "Inactive")</f>
        <v>Inactive</v>
      </c>
    </row>
    <row r="111" spans="2:6" x14ac:dyDescent="0.25">
      <c r="B111">
        <f t="shared" si="3"/>
        <v>0</v>
      </c>
      <c r="C111" s="44"/>
      <c r="D111" s="32"/>
      <c r="E111" s="32"/>
      <c r="F111" t="str" cm="1">
        <f t="array" ref="F111">IF(COUNTIF(Transporters_Used, Table34[[#This Row],[Transporter]]) &gt; 0, "Active", "Inactive")</f>
        <v>Inactive</v>
      </c>
    </row>
    <row r="112" spans="2:6" x14ac:dyDescent="0.25">
      <c r="B112">
        <f t="shared" si="3"/>
        <v>0</v>
      </c>
      <c r="C112" s="44"/>
      <c r="D112" s="32"/>
      <c r="E112" s="32"/>
      <c r="F112" t="str" cm="1">
        <f t="array" ref="F112">IF(COUNTIF(Transporters_Used, Table34[[#This Row],[Transporter]]) &gt; 0, "Active", "Inactive")</f>
        <v>Inactive</v>
      </c>
    </row>
    <row r="113" spans="2:6" x14ac:dyDescent="0.25">
      <c r="B113">
        <f t="shared" si="3"/>
        <v>0</v>
      </c>
      <c r="C113" s="44"/>
      <c r="D113" s="32"/>
      <c r="E113" s="32"/>
      <c r="F113" t="str" cm="1">
        <f t="array" ref="F113">IF(COUNTIF(Transporters_Used, Table34[[#This Row],[Transporter]]) &gt; 0, "Active", "Inactive")</f>
        <v>Inactive</v>
      </c>
    </row>
    <row r="114" spans="2:6" x14ac:dyDescent="0.25">
      <c r="B114">
        <f t="shared" si="3"/>
        <v>0</v>
      </c>
      <c r="C114" s="44"/>
      <c r="D114" s="32"/>
      <c r="E114" s="32"/>
      <c r="F114" t="str" cm="1">
        <f t="array" ref="F114">IF(COUNTIF(Transporters_Used, Table34[[#This Row],[Transporter]]) &gt; 0, "Active", "Inactive")</f>
        <v>Inactive</v>
      </c>
    </row>
    <row r="115" spans="2:6" x14ac:dyDescent="0.25">
      <c r="B115">
        <f t="shared" si="3"/>
        <v>0</v>
      </c>
      <c r="C115" s="44"/>
      <c r="D115" s="32"/>
      <c r="E115" s="32"/>
      <c r="F115" t="str" cm="1">
        <f t="array" ref="F115">IF(COUNTIF(Transporters_Used, Table34[[#This Row],[Transporter]]) &gt; 0, "Active", "Inactive")</f>
        <v>Inactive</v>
      </c>
    </row>
    <row r="116" spans="2:6" x14ac:dyDescent="0.25">
      <c r="B116">
        <f t="shared" si="3"/>
        <v>0</v>
      </c>
      <c r="C116" s="44"/>
      <c r="D116" s="32"/>
      <c r="E116" s="32"/>
      <c r="F116" t="str" cm="1">
        <f t="array" ref="F116">IF(COUNTIF(Transporters_Used, Table34[[#This Row],[Transporter]]) &gt; 0, "Active", "Inactive")</f>
        <v>Inactive</v>
      </c>
    </row>
    <row r="117" spans="2:6" x14ac:dyDescent="0.25">
      <c r="B117">
        <f t="shared" si="3"/>
        <v>0</v>
      </c>
      <c r="C117" s="44"/>
      <c r="D117" s="32"/>
      <c r="E117" s="32"/>
      <c r="F117" t="str" cm="1">
        <f t="array" ref="F117">IF(COUNTIF(Transporters_Used, Table34[[#This Row],[Transporter]]) &gt; 0, "Active", "Inactive")</f>
        <v>Inactive</v>
      </c>
    </row>
    <row r="118" spans="2:6" x14ac:dyDescent="0.25">
      <c r="B118">
        <f t="shared" si="3"/>
        <v>0</v>
      </c>
      <c r="C118" s="44"/>
      <c r="D118" s="32"/>
      <c r="E118" s="32"/>
      <c r="F118" t="str" cm="1">
        <f t="array" ref="F118">IF(COUNTIF(Transporters_Used, Table34[[#This Row],[Transporter]]) &gt; 0, "Active", "Inactive")</f>
        <v>Inactive</v>
      </c>
    </row>
    <row r="119" spans="2:6" x14ac:dyDescent="0.25">
      <c r="B119">
        <f t="shared" si="3"/>
        <v>0</v>
      </c>
      <c r="C119" s="44"/>
      <c r="D119" s="32"/>
      <c r="E119" s="32"/>
      <c r="F119" t="str" cm="1">
        <f t="array" ref="F119">IF(COUNTIF(Transporters_Used, Table34[[#This Row],[Transporter]]) &gt; 0, "Active", "Inactive")</f>
        <v>Inactive</v>
      </c>
    </row>
    <row r="120" spans="2:6" x14ac:dyDescent="0.25">
      <c r="B120">
        <f t="shared" si="3"/>
        <v>0</v>
      </c>
      <c r="C120" s="44"/>
      <c r="D120" s="32"/>
      <c r="E120" s="32"/>
      <c r="F120" t="str" cm="1">
        <f t="array" ref="F120">IF(COUNTIF(Transporters_Used, Table34[[#This Row],[Transporter]]) &gt; 0, "Active", "Inactive")</f>
        <v>Inactive</v>
      </c>
    </row>
    <row r="121" spans="2:6" x14ac:dyDescent="0.25">
      <c r="B121">
        <f t="shared" si="3"/>
        <v>0</v>
      </c>
      <c r="C121" s="44"/>
      <c r="D121" s="32"/>
      <c r="E121" s="32"/>
      <c r="F121" t="str" cm="1">
        <f t="array" ref="F121">IF(COUNTIF(Transporters_Used, Table34[[#This Row],[Transporter]]) &gt; 0, "Active", "Inactive")</f>
        <v>Inactive</v>
      </c>
    </row>
    <row r="122" spans="2:6" x14ac:dyDescent="0.25">
      <c r="B122">
        <f t="shared" si="3"/>
        <v>0</v>
      </c>
      <c r="C122" s="44"/>
      <c r="D122" s="32"/>
      <c r="E122" s="32"/>
      <c r="F122" t="str" cm="1">
        <f t="array" ref="F122">IF(COUNTIF(Transporters_Used, Table34[[#This Row],[Transporter]]) &gt; 0, "Active", "Inactive")</f>
        <v>Inactive</v>
      </c>
    </row>
    <row r="123" spans="2:6" x14ac:dyDescent="0.25">
      <c r="B123">
        <f t="shared" si="3"/>
        <v>0</v>
      </c>
      <c r="C123" s="44"/>
      <c r="D123" s="32"/>
      <c r="E123" s="32"/>
      <c r="F123" t="str" cm="1">
        <f t="array" ref="F123">IF(COUNTIF(Transporters_Used, Table34[[#This Row],[Transporter]]) &gt; 0, "Active", "Inactive")</f>
        <v>Inactive</v>
      </c>
    </row>
    <row r="124" spans="2:6" x14ac:dyDescent="0.25">
      <c r="B124">
        <f t="shared" si="3"/>
        <v>0</v>
      </c>
      <c r="C124" s="44"/>
      <c r="D124" s="32"/>
      <c r="E124" s="32"/>
      <c r="F124" t="str" cm="1">
        <f t="array" ref="F124">IF(COUNTIF(Transporters_Used, Table34[[#This Row],[Transporter]]) &gt; 0, "Active", "Inactive")</f>
        <v>Inactive</v>
      </c>
    </row>
    <row r="125" spans="2:6" x14ac:dyDescent="0.25">
      <c r="B125">
        <f t="shared" si="3"/>
        <v>0</v>
      </c>
      <c r="C125" s="44"/>
      <c r="D125" s="32"/>
      <c r="E125" s="32"/>
      <c r="F125" t="str" cm="1">
        <f t="array" ref="F125">IF(COUNTIF(Transporters_Used, Table34[[#This Row],[Transporter]]) &gt; 0, "Active", "Inactive")</f>
        <v>Inactive</v>
      </c>
    </row>
    <row r="126" spans="2:6" x14ac:dyDescent="0.25">
      <c r="B126">
        <f t="shared" si="3"/>
        <v>0</v>
      </c>
      <c r="C126" s="44"/>
      <c r="D126" s="32"/>
      <c r="E126" s="32"/>
      <c r="F126" t="str" cm="1">
        <f t="array" ref="F126">IF(COUNTIF(Transporters_Used, Table34[[#This Row],[Transporter]]) &gt; 0, "Active", "Inactive")</f>
        <v>Inactive</v>
      </c>
    </row>
    <row r="127" spans="2:6" x14ac:dyDescent="0.25">
      <c r="B127">
        <f t="shared" si="3"/>
        <v>0</v>
      </c>
      <c r="C127" s="44"/>
      <c r="D127" s="32"/>
      <c r="E127" s="32"/>
      <c r="F127" t="str" cm="1">
        <f t="array" ref="F127">IF(COUNTIF(Transporters_Used, Table34[[#This Row],[Transporter]]) &gt; 0, "Active", "Inactive")</f>
        <v>Inactive</v>
      </c>
    </row>
    <row r="128" spans="2:6" x14ac:dyDescent="0.25">
      <c r="B128">
        <f t="shared" si="3"/>
        <v>0</v>
      </c>
      <c r="C128" s="44"/>
      <c r="D128" s="32"/>
      <c r="E128" s="32"/>
      <c r="F128" t="str" cm="1">
        <f t="array" ref="F128">IF(COUNTIF(Transporters_Used, Table34[[#This Row],[Transporter]]) &gt; 0, "Active", "Inactive")</f>
        <v>Inactive</v>
      </c>
    </row>
    <row r="129" spans="2:6" x14ac:dyDescent="0.25">
      <c r="B129">
        <f t="shared" si="3"/>
        <v>0</v>
      </c>
      <c r="C129" s="44"/>
      <c r="D129" s="32"/>
      <c r="E129" s="32"/>
      <c r="F129" t="str" cm="1">
        <f t="array" ref="F129">IF(COUNTIF(Transporters_Used, Table34[[#This Row],[Transporter]]) &gt; 0, "Active", "Inactive")</f>
        <v>Inactive</v>
      </c>
    </row>
    <row r="130" spans="2:6" x14ac:dyDescent="0.25">
      <c r="B130">
        <f t="shared" si="3"/>
        <v>0</v>
      </c>
      <c r="C130" s="44"/>
      <c r="D130" s="32"/>
      <c r="E130" s="32"/>
      <c r="F130" t="str" cm="1">
        <f t="array" ref="F130">IF(COUNTIF(Transporters_Used, Table34[[#This Row],[Transporter]]) &gt; 0, "Active", "Inactive")</f>
        <v>Inactive</v>
      </c>
    </row>
    <row r="131" spans="2:6" x14ac:dyDescent="0.25">
      <c r="B131">
        <f t="shared" si="3"/>
        <v>0</v>
      </c>
      <c r="C131" s="44"/>
      <c r="D131" s="32"/>
      <c r="E131" s="32"/>
      <c r="F131" t="str" cm="1">
        <f t="array" ref="F131">IF(COUNTIF(Transporters_Used, Table34[[#This Row],[Transporter]]) &gt; 0, "Active", "Inactive")</f>
        <v>Inactive</v>
      </c>
    </row>
    <row r="132" spans="2:6" x14ac:dyDescent="0.25">
      <c r="B132">
        <f t="shared" si="3"/>
        <v>0</v>
      </c>
      <c r="C132" s="44"/>
      <c r="D132" s="32"/>
      <c r="E132" s="32"/>
      <c r="F132" t="str" cm="1">
        <f t="array" ref="F132">IF(COUNTIF(Transporters_Used, Table34[[#This Row],[Transporter]]) &gt; 0, "Active", "Inactive")</f>
        <v>Inactive</v>
      </c>
    </row>
    <row r="133" spans="2:6" x14ac:dyDescent="0.25">
      <c r="B133">
        <f t="shared" si="3"/>
        <v>0</v>
      </c>
      <c r="C133" s="44"/>
      <c r="D133" s="32"/>
      <c r="E133" s="32"/>
      <c r="F133" t="str" cm="1">
        <f t="array" ref="F133">IF(COUNTIF(Transporters_Used, Table34[[#This Row],[Transporter]]) &gt; 0, "Active", "Inactive")</f>
        <v>Inactive</v>
      </c>
    </row>
    <row r="134" spans="2:6" x14ac:dyDescent="0.25">
      <c r="B134">
        <f t="shared" si="3"/>
        <v>0</v>
      </c>
      <c r="C134" s="44"/>
      <c r="D134" s="32"/>
      <c r="E134" s="32"/>
      <c r="F134" t="str" cm="1">
        <f t="array" ref="F134">IF(COUNTIF(Transporters_Used, Table34[[#This Row],[Transporter]]) &gt; 0, "Active", "Inactive")</f>
        <v>Inactive</v>
      </c>
    </row>
    <row r="135" spans="2:6" x14ac:dyDescent="0.25">
      <c r="B135">
        <f t="shared" si="3"/>
        <v>0</v>
      </c>
      <c r="C135" s="44"/>
      <c r="D135" s="32"/>
      <c r="E135" s="32"/>
      <c r="F135" t="str" cm="1">
        <f t="array" ref="F135">IF(COUNTIF(Transporters_Used, Table34[[#This Row],[Transporter]]) &gt; 0, "Active", "Inactive")</f>
        <v>Inactive</v>
      </c>
    </row>
    <row r="136" spans="2:6" x14ac:dyDescent="0.25">
      <c r="B136">
        <f t="shared" ref="B136:B157" si="4">R130</f>
        <v>0</v>
      </c>
      <c r="C136" s="44"/>
      <c r="D136" s="32"/>
      <c r="E136" s="32"/>
      <c r="F136" t="str" cm="1">
        <f t="array" ref="F136">IF(COUNTIF(Transporters_Used, Table34[[#This Row],[Transporter]]) &gt; 0, "Active", "Inactive")</f>
        <v>Inactive</v>
      </c>
    </row>
    <row r="137" spans="2:6" x14ac:dyDescent="0.25">
      <c r="B137">
        <f t="shared" si="4"/>
        <v>0</v>
      </c>
      <c r="C137" s="44"/>
      <c r="D137" s="32"/>
      <c r="E137" s="32"/>
      <c r="F137" t="str" cm="1">
        <f t="array" ref="F137">IF(COUNTIF(Transporters_Used, Table34[[#This Row],[Transporter]]) &gt; 0, "Active", "Inactive")</f>
        <v>Inactive</v>
      </c>
    </row>
    <row r="138" spans="2:6" x14ac:dyDescent="0.25">
      <c r="B138">
        <f t="shared" si="4"/>
        <v>0</v>
      </c>
      <c r="C138" s="44"/>
      <c r="D138" s="32"/>
      <c r="E138" s="32"/>
      <c r="F138" t="str" cm="1">
        <f t="array" ref="F138">IF(COUNTIF(Transporters_Used, Table34[[#This Row],[Transporter]]) &gt; 0, "Active", "Inactive")</f>
        <v>Inactive</v>
      </c>
    </row>
    <row r="139" spans="2:6" x14ac:dyDescent="0.25">
      <c r="B139">
        <f t="shared" si="4"/>
        <v>0</v>
      </c>
      <c r="C139" s="44"/>
      <c r="D139" s="32"/>
      <c r="E139" s="32"/>
      <c r="F139" t="str" cm="1">
        <f t="array" ref="F139">IF(COUNTIF(Transporters_Used, Table34[[#This Row],[Transporter]]) &gt; 0, "Active", "Inactive")</f>
        <v>Inactive</v>
      </c>
    </row>
    <row r="140" spans="2:6" x14ac:dyDescent="0.25">
      <c r="B140">
        <f t="shared" si="4"/>
        <v>0</v>
      </c>
      <c r="C140" s="44"/>
      <c r="D140" s="32"/>
      <c r="E140" s="32"/>
      <c r="F140" t="str" cm="1">
        <f t="array" ref="F140">IF(COUNTIF(Transporters_Used, Table34[[#This Row],[Transporter]]) &gt; 0, "Active", "Inactive")</f>
        <v>Inactive</v>
      </c>
    </row>
    <row r="141" spans="2:6" x14ac:dyDescent="0.25">
      <c r="B141">
        <f t="shared" si="4"/>
        <v>0</v>
      </c>
      <c r="C141" s="44"/>
      <c r="D141" s="32"/>
      <c r="E141" s="32"/>
      <c r="F141" t="str" cm="1">
        <f t="array" ref="F141">IF(COUNTIF(Transporters_Used, Table34[[#This Row],[Transporter]]) &gt; 0, "Active", "Inactive")</f>
        <v>Inactive</v>
      </c>
    </row>
    <row r="142" spans="2:6" x14ac:dyDescent="0.25">
      <c r="B142">
        <f t="shared" si="4"/>
        <v>0</v>
      </c>
      <c r="C142" s="44"/>
      <c r="D142" s="32"/>
      <c r="E142" s="32"/>
      <c r="F142" t="str" cm="1">
        <f t="array" ref="F142">IF(COUNTIF(Transporters_Used, Table34[[#This Row],[Transporter]]) &gt; 0, "Active", "Inactive")</f>
        <v>Inactive</v>
      </c>
    </row>
    <row r="143" spans="2:6" x14ac:dyDescent="0.25">
      <c r="B143">
        <f t="shared" si="4"/>
        <v>0</v>
      </c>
      <c r="C143" s="44"/>
      <c r="D143" s="32"/>
      <c r="E143" s="32"/>
      <c r="F143" t="str" cm="1">
        <f t="array" ref="F143">IF(COUNTIF(Transporters_Used, Table34[[#This Row],[Transporter]]) &gt; 0, "Active", "Inactive")</f>
        <v>Inactive</v>
      </c>
    </row>
    <row r="144" spans="2:6" x14ac:dyDescent="0.25">
      <c r="B144">
        <f t="shared" si="4"/>
        <v>0</v>
      </c>
      <c r="C144" s="44"/>
      <c r="D144" s="32"/>
      <c r="E144" s="32"/>
      <c r="F144" t="str" cm="1">
        <f t="array" ref="F144">IF(COUNTIF(Transporters_Used, Table34[[#This Row],[Transporter]]) &gt; 0, "Active", "Inactive")</f>
        <v>Inactive</v>
      </c>
    </row>
    <row r="145" spans="2:6" x14ac:dyDescent="0.25">
      <c r="B145">
        <f t="shared" si="4"/>
        <v>0</v>
      </c>
      <c r="C145" s="44"/>
      <c r="D145" s="32"/>
      <c r="E145" s="32"/>
      <c r="F145" t="str" cm="1">
        <f t="array" ref="F145">IF(COUNTIF(Transporters_Used, Table34[[#This Row],[Transporter]]) &gt; 0, "Active", "Inactive")</f>
        <v>Inactive</v>
      </c>
    </row>
    <row r="146" spans="2:6" x14ac:dyDescent="0.25">
      <c r="B146">
        <f t="shared" si="4"/>
        <v>0</v>
      </c>
      <c r="C146" s="44"/>
      <c r="D146" s="32"/>
      <c r="E146" s="32"/>
      <c r="F146" t="str" cm="1">
        <f t="array" ref="F146">IF(COUNTIF(Transporters_Used, Table34[[#This Row],[Transporter]]) &gt; 0, "Active", "Inactive")</f>
        <v>Inactive</v>
      </c>
    </row>
    <row r="147" spans="2:6" x14ac:dyDescent="0.25">
      <c r="B147">
        <f t="shared" si="4"/>
        <v>0</v>
      </c>
      <c r="C147" s="44"/>
      <c r="D147" s="32"/>
      <c r="E147" s="32"/>
      <c r="F147" t="str" cm="1">
        <f t="array" ref="F147">IF(COUNTIF(Transporters_Used, Table34[[#This Row],[Transporter]]) &gt; 0, "Active", "Inactive")</f>
        <v>Inactive</v>
      </c>
    </row>
    <row r="148" spans="2:6" x14ac:dyDescent="0.25">
      <c r="B148">
        <f t="shared" si="4"/>
        <v>0</v>
      </c>
      <c r="C148" s="44"/>
      <c r="D148" s="32"/>
      <c r="E148" s="32"/>
      <c r="F148" t="str" cm="1">
        <f t="array" ref="F148">IF(COUNTIF(Transporters_Used, Table34[[#This Row],[Transporter]]) &gt; 0, "Active", "Inactive")</f>
        <v>Inactive</v>
      </c>
    </row>
    <row r="149" spans="2:6" x14ac:dyDescent="0.25">
      <c r="B149">
        <f t="shared" si="4"/>
        <v>0</v>
      </c>
      <c r="C149" s="44"/>
      <c r="D149" s="32"/>
      <c r="E149" s="32"/>
      <c r="F149" t="str" cm="1">
        <f t="array" ref="F149">IF(COUNTIF(Transporters_Used, Table34[[#This Row],[Transporter]]) &gt; 0, "Active", "Inactive")</f>
        <v>Inactive</v>
      </c>
    </row>
    <row r="150" spans="2:6" x14ac:dyDescent="0.25">
      <c r="B150">
        <f t="shared" si="4"/>
        <v>0</v>
      </c>
      <c r="C150" s="44"/>
      <c r="D150" s="32"/>
      <c r="E150" s="32"/>
      <c r="F150" t="str" cm="1">
        <f t="array" ref="F150">IF(COUNTIF(Transporters_Used, Table34[[#This Row],[Transporter]]) &gt; 0, "Active", "Inactive")</f>
        <v>Inactive</v>
      </c>
    </row>
    <row r="151" spans="2:6" x14ac:dyDescent="0.25">
      <c r="B151">
        <f t="shared" si="4"/>
        <v>0</v>
      </c>
      <c r="C151" s="44"/>
      <c r="D151" s="32"/>
      <c r="E151" s="32"/>
      <c r="F151" t="str" cm="1">
        <f t="array" ref="F151">IF(COUNTIF(Transporters_Used, Table34[[#This Row],[Transporter]]) &gt; 0, "Active", "Inactive")</f>
        <v>Inactive</v>
      </c>
    </row>
    <row r="152" spans="2:6" x14ac:dyDescent="0.25">
      <c r="B152">
        <f t="shared" si="4"/>
        <v>0</v>
      </c>
      <c r="C152" s="44"/>
      <c r="D152" s="32"/>
      <c r="E152" s="32"/>
      <c r="F152" t="str" cm="1">
        <f t="array" ref="F152">IF(COUNTIF(Transporters_Used, Table34[[#This Row],[Transporter]]) &gt; 0, "Active", "Inactive")</f>
        <v>Inactive</v>
      </c>
    </row>
    <row r="153" spans="2:6" x14ac:dyDescent="0.25">
      <c r="B153">
        <f t="shared" si="4"/>
        <v>0</v>
      </c>
      <c r="C153" s="44"/>
      <c r="D153" s="32"/>
      <c r="E153" s="32"/>
      <c r="F153" t="str" cm="1">
        <f t="array" ref="F153">IF(COUNTIF(Transporters_Used, Table34[[#This Row],[Transporter]]) &gt; 0, "Active", "Inactive")</f>
        <v>Inactive</v>
      </c>
    </row>
    <row r="154" spans="2:6" x14ac:dyDescent="0.25">
      <c r="B154">
        <f t="shared" si="4"/>
        <v>0</v>
      </c>
      <c r="C154" s="44"/>
      <c r="D154" s="32"/>
      <c r="E154" s="32"/>
      <c r="F154" t="str" cm="1">
        <f t="array" ref="F154">IF(COUNTIF(Transporters_Used, Table34[[#This Row],[Transporter]]) &gt; 0, "Active", "Inactive")</f>
        <v>Inactive</v>
      </c>
    </row>
    <row r="155" spans="2:6" x14ac:dyDescent="0.25">
      <c r="B155">
        <f t="shared" si="4"/>
        <v>0</v>
      </c>
      <c r="C155" s="44"/>
      <c r="D155" s="32"/>
      <c r="E155" s="32"/>
      <c r="F155" t="str" cm="1">
        <f t="array" ref="F155">IF(COUNTIF(Transporters_Used, Table34[[#This Row],[Transporter]]) &gt; 0, "Active", "Inactive")</f>
        <v>Inactive</v>
      </c>
    </row>
    <row r="156" spans="2:6" x14ac:dyDescent="0.25">
      <c r="B156">
        <f t="shared" si="4"/>
        <v>0</v>
      </c>
      <c r="C156" s="44"/>
      <c r="D156" s="32"/>
      <c r="E156" s="32"/>
      <c r="F156" t="str" cm="1">
        <f t="array" ref="F156">IF(COUNTIF(Transporters_Used, Table34[[#This Row],[Transporter]]) &gt; 0, "Active", "Inactive")</f>
        <v>Inactive</v>
      </c>
    </row>
    <row r="157" spans="2:6" x14ac:dyDescent="0.25">
      <c r="B157">
        <f t="shared" si="4"/>
        <v>0</v>
      </c>
      <c r="C157" s="44"/>
      <c r="D157" s="32"/>
      <c r="E157" s="32"/>
      <c r="F157" t="str" cm="1">
        <f t="array" ref="F157">IF(COUNTIF(Transporters_Used, Table34[[#This Row],[Transporter]]) &gt; 0, "Active", "Inactive")</f>
        <v>Inactive</v>
      </c>
    </row>
  </sheetData>
  <pageMargins left="0.7" right="0.7" top="0.75" bottom="0.75" header="0.3" footer="0.3"/>
  <drawing r:id="rId2"/>
  <tableParts count="2">
    <tablePart r:id="rId3"/>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5946A-06CF-41DC-8DD0-D5F45B7A90F8}">
  <sheetPr codeName="Sheet4"/>
  <dimension ref="B3:AK99"/>
  <sheetViews>
    <sheetView showGridLines="0" topLeftCell="L55" workbookViewId="0">
      <selection activeCell="B5" sqref="B5"/>
    </sheetView>
  </sheetViews>
  <sheetFormatPr defaultRowHeight="15" x14ac:dyDescent="0.25"/>
  <cols>
    <col min="1" max="1" width="1.7109375" customWidth="1"/>
    <col min="2" max="2" width="19.5703125" bestFit="1" customWidth="1"/>
    <col min="3" max="3" width="11.140625" bestFit="1" customWidth="1"/>
    <col min="4" max="4" width="1.7109375" customWidth="1"/>
    <col min="5" max="5" width="27" bestFit="1" customWidth="1"/>
    <col min="6" max="6" width="1.7109375" customWidth="1"/>
    <col min="7" max="7" width="19.85546875" customWidth="1"/>
    <col min="8" max="8" width="1.7109375" customWidth="1"/>
    <col min="9" max="9" width="18.5703125" bestFit="1" customWidth="1"/>
    <col min="10" max="10" width="11.140625" bestFit="1" customWidth="1"/>
    <col min="11" max="11" width="1.7109375" customWidth="1"/>
    <col min="12" max="12" width="16.140625" bestFit="1" customWidth="1"/>
    <col min="13" max="13" width="1.7109375" customWidth="1"/>
    <col min="14" max="14" width="18" bestFit="1" customWidth="1"/>
    <col min="15" max="15" width="1.7109375" customWidth="1"/>
    <col min="16" max="16" width="15.42578125" bestFit="1" customWidth="1"/>
    <col min="17" max="17" width="1.7109375" customWidth="1"/>
    <col min="18" max="18" width="16.7109375" bestFit="1" customWidth="1"/>
    <col min="19" max="19" width="1.7109375" customWidth="1"/>
    <col min="20" max="20" width="25.28515625" bestFit="1" customWidth="1"/>
    <col min="22" max="22" width="1.7109375" customWidth="1"/>
    <col min="23" max="23" width="26.5703125" bestFit="1" customWidth="1"/>
    <col min="24" max="24" width="1.7109375" customWidth="1"/>
    <col min="25" max="25" width="37" bestFit="1" customWidth="1"/>
    <col min="26" max="26" width="1.7109375" customWidth="1"/>
    <col min="27" max="27" width="13.140625" bestFit="1" customWidth="1"/>
    <col min="28" max="28" width="1.7109375" customWidth="1"/>
    <col min="29" max="29" width="37.140625" bestFit="1" customWidth="1"/>
    <col min="30" max="30" width="1.7109375" customWidth="1"/>
    <col min="31" max="31" width="30.5703125" bestFit="1" customWidth="1"/>
    <col min="32" max="32" width="1.7109375" customWidth="1"/>
    <col min="33" max="33" width="24" bestFit="1" customWidth="1"/>
    <col min="34" max="34" width="1.7109375" customWidth="1"/>
    <col min="35" max="35" width="27.5703125" bestFit="1" customWidth="1"/>
    <col min="36" max="36" width="1.7109375" customWidth="1"/>
    <col min="37" max="37" width="37.42578125" bestFit="1" customWidth="1"/>
    <col min="38" max="38" width="1.7109375" customWidth="1"/>
  </cols>
  <sheetData>
    <row r="3" spans="2:37" x14ac:dyDescent="0.25">
      <c r="B3" t="s">
        <v>416</v>
      </c>
      <c r="C3" t="s">
        <v>421</v>
      </c>
      <c r="E3" t="s">
        <v>527</v>
      </c>
      <c r="G3" t="s">
        <v>528</v>
      </c>
      <c r="I3" t="s">
        <v>415</v>
      </c>
      <c r="J3" t="s">
        <v>421</v>
      </c>
      <c r="L3" s="7" t="s">
        <v>3</v>
      </c>
      <c r="N3" t="s">
        <v>4</v>
      </c>
      <c r="P3" t="s">
        <v>74</v>
      </c>
      <c r="R3" t="s">
        <v>15</v>
      </c>
      <c r="T3" t="s">
        <v>419</v>
      </c>
      <c r="U3" t="s">
        <v>414</v>
      </c>
      <c r="W3" t="s">
        <v>16</v>
      </c>
      <c r="Y3" t="s">
        <v>17</v>
      </c>
      <c r="AA3" t="s">
        <v>14</v>
      </c>
      <c r="AC3" t="s">
        <v>267</v>
      </c>
      <c r="AE3" t="s">
        <v>312</v>
      </c>
      <c r="AG3" t="s">
        <v>369</v>
      </c>
      <c r="AI3" t="s">
        <v>391</v>
      </c>
      <c r="AK3" t="s">
        <v>558</v>
      </c>
    </row>
    <row r="4" spans="2:37" x14ac:dyDescent="0.25">
      <c r="B4" t="s">
        <v>72</v>
      </c>
      <c r="C4">
        <v>1</v>
      </c>
      <c r="E4" t="s">
        <v>71</v>
      </c>
      <c r="G4" t="s">
        <v>529</v>
      </c>
      <c r="I4" t="s">
        <v>408</v>
      </c>
      <c r="J4">
        <v>1</v>
      </c>
      <c r="L4" s="7" t="s">
        <v>80</v>
      </c>
      <c r="N4" s="7" t="s">
        <v>95</v>
      </c>
      <c r="P4" t="s">
        <v>37</v>
      </c>
      <c r="R4" t="s">
        <v>101</v>
      </c>
      <c r="T4" s="22" t="s">
        <v>80</v>
      </c>
      <c r="U4" s="23">
        <v>1</v>
      </c>
      <c r="W4" t="s">
        <v>108</v>
      </c>
      <c r="Y4" t="s">
        <v>182</v>
      </c>
      <c r="AA4" t="s">
        <v>266</v>
      </c>
      <c r="AC4" t="s">
        <v>268</v>
      </c>
      <c r="AE4" t="s">
        <v>313</v>
      </c>
      <c r="AG4" t="s">
        <v>370</v>
      </c>
      <c r="AI4" t="s">
        <v>269</v>
      </c>
      <c r="AK4" t="s">
        <v>0</v>
      </c>
    </row>
    <row r="5" spans="2:37" x14ac:dyDescent="0.25">
      <c r="B5" t="s">
        <v>44</v>
      </c>
      <c r="C5">
        <v>2</v>
      </c>
      <c r="E5" s="6" t="s">
        <v>65</v>
      </c>
      <c r="F5" s="6"/>
      <c r="G5" s="6" t="s">
        <v>530</v>
      </c>
      <c r="I5" t="s">
        <v>409</v>
      </c>
      <c r="J5">
        <v>2</v>
      </c>
      <c r="L5" s="7" t="s">
        <v>81</v>
      </c>
      <c r="N5" s="7" t="s">
        <v>96</v>
      </c>
      <c r="P5" t="s">
        <v>36</v>
      </c>
      <c r="R5" t="s">
        <v>104</v>
      </c>
      <c r="T5" s="22" t="s">
        <v>81</v>
      </c>
      <c r="U5" s="23">
        <v>2</v>
      </c>
      <c r="W5" t="s">
        <v>109</v>
      </c>
      <c r="Y5" t="s">
        <v>108</v>
      </c>
      <c r="AA5" t="s">
        <v>265</v>
      </c>
      <c r="AC5" t="s">
        <v>269</v>
      </c>
      <c r="AE5" t="s">
        <v>606</v>
      </c>
      <c r="AG5" t="s">
        <v>371</v>
      </c>
      <c r="AI5" t="s">
        <v>570</v>
      </c>
      <c r="AK5" t="s">
        <v>1</v>
      </c>
    </row>
    <row r="6" spans="2:37" x14ac:dyDescent="0.25">
      <c r="B6" t="s">
        <v>45</v>
      </c>
      <c r="C6">
        <v>3</v>
      </c>
      <c r="E6" s="6" t="s">
        <v>66</v>
      </c>
      <c r="F6" s="6"/>
      <c r="G6" s="6"/>
      <c r="I6" t="s">
        <v>75</v>
      </c>
      <c r="J6">
        <v>3</v>
      </c>
      <c r="L6" s="7" t="s">
        <v>85</v>
      </c>
      <c r="N6" s="7" t="s">
        <v>42</v>
      </c>
      <c r="P6" t="s">
        <v>103</v>
      </c>
      <c r="R6" t="s">
        <v>107</v>
      </c>
      <c r="T6" s="22" t="s">
        <v>36</v>
      </c>
      <c r="U6" s="23">
        <v>3</v>
      </c>
      <c r="W6" t="s">
        <v>110</v>
      </c>
      <c r="Y6" t="s">
        <v>110</v>
      </c>
      <c r="AA6" t="s">
        <v>264</v>
      </c>
      <c r="AC6" t="s">
        <v>489</v>
      </c>
      <c r="AE6" t="s">
        <v>463</v>
      </c>
      <c r="AG6" t="s">
        <v>454</v>
      </c>
      <c r="AI6" t="s">
        <v>273</v>
      </c>
      <c r="AK6" t="s">
        <v>2</v>
      </c>
    </row>
    <row r="7" spans="2:37" x14ac:dyDescent="0.25">
      <c r="B7" t="s">
        <v>70</v>
      </c>
      <c r="C7">
        <v>4</v>
      </c>
      <c r="E7" s="6" t="s">
        <v>67</v>
      </c>
      <c r="F7" s="6"/>
      <c r="G7" s="6"/>
      <c r="I7" t="s">
        <v>410</v>
      </c>
      <c r="J7">
        <v>4</v>
      </c>
      <c r="L7" s="7" t="s">
        <v>87</v>
      </c>
      <c r="N7" s="7" t="s">
        <v>40</v>
      </c>
      <c r="P7" t="s">
        <v>105</v>
      </c>
      <c r="T7" s="22" t="s">
        <v>37</v>
      </c>
      <c r="U7" s="23">
        <v>4</v>
      </c>
      <c r="W7" t="s">
        <v>183</v>
      </c>
      <c r="Y7" t="s">
        <v>183</v>
      </c>
      <c r="AA7" t="s">
        <v>260</v>
      </c>
      <c r="AC7" t="s">
        <v>270</v>
      </c>
      <c r="AE7" t="s">
        <v>464</v>
      </c>
      <c r="AG7" t="s">
        <v>372</v>
      </c>
      <c r="AI7" t="s">
        <v>274</v>
      </c>
      <c r="AK7" t="s">
        <v>3</v>
      </c>
    </row>
    <row r="8" spans="2:37" x14ac:dyDescent="0.25">
      <c r="B8" t="s">
        <v>62</v>
      </c>
      <c r="C8">
        <v>5</v>
      </c>
      <c r="E8" s="6" t="s">
        <v>68</v>
      </c>
      <c r="F8" s="6"/>
      <c r="G8" s="6"/>
      <c r="I8" t="s">
        <v>43</v>
      </c>
      <c r="J8">
        <v>5</v>
      </c>
      <c r="L8" s="7" t="s">
        <v>88</v>
      </c>
      <c r="N8" s="7" t="s">
        <v>97</v>
      </c>
      <c r="P8" t="s">
        <v>560</v>
      </c>
      <c r="T8" s="22" t="s">
        <v>561</v>
      </c>
      <c r="U8" s="23">
        <v>5</v>
      </c>
      <c r="W8" t="s">
        <v>111</v>
      </c>
      <c r="Y8" t="s">
        <v>184</v>
      </c>
      <c r="AA8" t="s">
        <v>263</v>
      </c>
      <c r="AC8" t="s">
        <v>271</v>
      </c>
      <c r="AE8" t="s">
        <v>599</v>
      </c>
      <c r="AG8" t="s">
        <v>373</v>
      </c>
      <c r="AI8" t="s">
        <v>422</v>
      </c>
      <c r="AK8" t="s">
        <v>4</v>
      </c>
    </row>
    <row r="9" spans="2:37" x14ac:dyDescent="0.25">
      <c r="B9" t="s">
        <v>46</v>
      </c>
      <c r="C9">
        <v>6</v>
      </c>
      <c r="E9" s="6" t="s">
        <v>575</v>
      </c>
      <c r="F9" s="6"/>
      <c r="G9" s="6"/>
      <c r="I9" t="s">
        <v>411</v>
      </c>
      <c r="J9">
        <v>6</v>
      </c>
      <c r="L9" s="7" t="s">
        <v>89</v>
      </c>
      <c r="N9" s="7" t="s">
        <v>38</v>
      </c>
      <c r="P9" t="s">
        <v>106</v>
      </c>
      <c r="T9" s="22" t="s">
        <v>562</v>
      </c>
      <c r="U9" s="23">
        <v>6</v>
      </c>
      <c r="W9" t="s">
        <v>112</v>
      </c>
      <c r="Y9" t="s">
        <v>111</v>
      </c>
      <c r="AA9" t="s">
        <v>262</v>
      </c>
      <c r="AC9" t="s">
        <v>490</v>
      </c>
      <c r="AE9" t="s">
        <v>465</v>
      </c>
      <c r="AG9" t="s">
        <v>374</v>
      </c>
      <c r="AI9" t="s">
        <v>275</v>
      </c>
      <c r="AK9" t="s">
        <v>5</v>
      </c>
    </row>
    <row r="10" spans="2:37" x14ac:dyDescent="0.25">
      <c r="B10" t="s">
        <v>526</v>
      </c>
      <c r="C10">
        <v>7</v>
      </c>
      <c r="E10" s="6" t="s">
        <v>69</v>
      </c>
      <c r="I10" t="s">
        <v>412</v>
      </c>
      <c r="J10">
        <v>7</v>
      </c>
      <c r="L10" s="7" t="s">
        <v>90</v>
      </c>
      <c r="N10" s="7" t="s">
        <v>39</v>
      </c>
      <c r="T10" s="22" t="s">
        <v>102</v>
      </c>
      <c r="U10" s="23">
        <v>7</v>
      </c>
      <c r="W10" t="s">
        <v>113</v>
      </c>
      <c r="Y10" t="s">
        <v>185</v>
      </c>
      <c r="AA10" t="s">
        <v>261</v>
      </c>
      <c r="AC10" t="s">
        <v>272</v>
      </c>
      <c r="AE10" t="s">
        <v>314</v>
      </c>
      <c r="AG10" t="s">
        <v>375</v>
      </c>
      <c r="AI10" t="s">
        <v>392</v>
      </c>
      <c r="AK10" t="s">
        <v>6</v>
      </c>
    </row>
    <row r="11" spans="2:37" x14ac:dyDescent="0.25">
      <c r="B11" t="s">
        <v>47</v>
      </c>
      <c r="C11">
        <v>8</v>
      </c>
      <c r="I11" t="s">
        <v>413</v>
      </c>
      <c r="J11">
        <v>8</v>
      </c>
      <c r="L11" s="7" t="s">
        <v>91</v>
      </c>
      <c r="N11" s="7" t="s">
        <v>98</v>
      </c>
      <c r="T11" s="22" t="s">
        <v>589</v>
      </c>
      <c r="U11" s="23">
        <v>8</v>
      </c>
      <c r="W11" t="s">
        <v>114</v>
      </c>
      <c r="Y11" t="s">
        <v>186</v>
      </c>
      <c r="AC11" t="s">
        <v>592</v>
      </c>
      <c r="AE11" t="s">
        <v>315</v>
      </c>
      <c r="AG11" t="s">
        <v>376</v>
      </c>
      <c r="AI11" t="s">
        <v>276</v>
      </c>
      <c r="AK11" t="s">
        <v>60</v>
      </c>
    </row>
    <row r="12" spans="2:37" x14ac:dyDescent="0.25">
      <c r="B12" t="s">
        <v>48</v>
      </c>
      <c r="C12">
        <v>9</v>
      </c>
      <c r="L12" s="7" t="s">
        <v>92</v>
      </c>
      <c r="N12" s="7" t="s">
        <v>99</v>
      </c>
      <c r="T12" s="22" t="s">
        <v>587</v>
      </c>
      <c r="U12" s="23">
        <v>9</v>
      </c>
      <c r="W12" t="s">
        <v>115</v>
      </c>
      <c r="Y12" t="s">
        <v>187</v>
      </c>
      <c r="AC12" t="s">
        <v>491</v>
      </c>
      <c r="AE12" t="s">
        <v>316</v>
      </c>
      <c r="AG12" t="s">
        <v>377</v>
      </c>
      <c r="AI12" t="s">
        <v>423</v>
      </c>
      <c r="AK12" t="s">
        <v>73</v>
      </c>
    </row>
    <row r="13" spans="2:37" x14ac:dyDescent="0.25">
      <c r="L13" s="7" t="s">
        <v>93</v>
      </c>
      <c r="N13" s="7" t="s">
        <v>41</v>
      </c>
      <c r="T13" s="22" t="s">
        <v>588</v>
      </c>
      <c r="U13" s="23">
        <v>10</v>
      </c>
      <c r="W13" t="s">
        <v>116</v>
      </c>
      <c r="Y13" t="s">
        <v>188</v>
      </c>
      <c r="AC13" t="s">
        <v>492</v>
      </c>
      <c r="AE13" t="s">
        <v>317</v>
      </c>
      <c r="AG13" t="s">
        <v>378</v>
      </c>
      <c r="AI13" t="s">
        <v>424</v>
      </c>
      <c r="AK13" t="s">
        <v>50</v>
      </c>
    </row>
    <row r="14" spans="2:37" x14ac:dyDescent="0.25">
      <c r="D14" s="6"/>
      <c r="F14" s="6"/>
      <c r="G14" s="6"/>
      <c r="H14" s="6"/>
      <c r="T14" s="22" t="s">
        <v>100</v>
      </c>
      <c r="U14" s="23">
        <v>11</v>
      </c>
      <c r="W14" t="s">
        <v>117</v>
      </c>
      <c r="Y14" t="s">
        <v>189</v>
      </c>
      <c r="AC14" t="s">
        <v>273</v>
      </c>
      <c r="AE14" t="s">
        <v>318</v>
      </c>
      <c r="AG14" t="s">
        <v>455</v>
      </c>
      <c r="AI14" t="s">
        <v>425</v>
      </c>
      <c r="AK14" t="s">
        <v>7</v>
      </c>
    </row>
    <row r="15" spans="2:37" x14ac:dyDescent="0.25">
      <c r="D15" s="6"/>
      <c r="E15" s="6"/>
      <c r="F15" s="6"/>
      <c r="G15" s="6"/>
      <c r="H15" s="6"/>
      <c r="T15" s="22" t="s">
        <v>420</v>
      </c>
      <c r="U15" s="23">
        <v>12</v>
      </c>
      <c r="W15" t="s">
        <v>118</v>
      </c>
      <c r="Y15" t="s">
        <v>190</v>
      </c>
      <c r="AC15" t="s">
        <v>274</v>
      </c>
      <c r="AE15" t="s">
        <v>319</v>
      </c>
      <c r="AG15" t="s">
        <v>456</v>
      </c>
      <c r="AI15" t="s">
        <v>393</v>
      </c>
      <c r="AK15" t="s">
        <v>64</v>
      </c>
    </row>
    <row r="16" spans="2:37" x14ac:dyDescent="0.25">
      <c r="D16" s="6"/>
      <c r="E16" s="6"/>
      <c r="F16" s="6"/>
      <c r="G16" s="6"/>
      <c r="H16" s="6"/>
      <c r="T16" s="22" t="s">
        <v>82</v>
      </c>
      <c r="U16" s="23">
        <v>13</v>
      </c>
      <c r="W16" t="s">
        <v>119</v>
      </c>
      <c r="Y16" t="s">
        <v>191</v>
      </c>
      <c r="AC16" t="s">
        <v>493</v>
      </c>
      <c r="AE16" t="s">
        <v>320</v>
      </c>
      <c r="AG16" t="s">
        <v>379</v>
      </c>
      <c r="AI16" t="s">
        <v>394</v>
      </c>
      <c r="AK16" t="s">
        <v>8</v>
      </c>
    </row>
    <row r="17" spans="4:37" x14ac:dyDescent="0.25">
      <c r="D17" s="6"/>
      <c r="E17" s="6"/>
      <c r="F17" s="6"/>
      <c r="G17" s="6"/>
      <c r="H17" s="6"/>
      <c r="T17" s="22" t="s">
        <v>83</v>
      </c>
      <c r="U17" s="23">
        <v>14</v>
      </c>
      <c r="W17" t="s">
        <v>120</v>
      </c>
      <c r="Y17" t="s">
        <v>192</v>
      </c>
      <c r="AC17" t="s">
        <v>276</v>
      </c>
      <c r="AE17" t="s">
        <v>321</v>
      </c>
      <c r="AG17" t="s">
        <v>380</v>
      </c>
      <c r="AI17" t="s">
        <v>426</v>
      </c>
      <c r="AK17" t="s">
        <v>9</v>
      </c>
    </row>
    <row r="18" spans="4:37" x14ac:dyDescent="0.25">
      <c r="D18" s="6"/>
      <c r="E18" s="6"/>
      <c r="F18" s="6"/>
      <c r="G18" s="6"/>
      <c r="H18" s="6"/>
      <c r="T18" s="22" t="s">
        <v>86</v>
      </c>
      <c r="U18" s="23">
        <v>15</v>
      </c>
      <c r="W18" t="s">
        <v>121</v>
      </c>
      <c r="Y18" t="s">
        <v>193</v>
      </c>
      <c r="AC18" t="s">
        <v>423</v>
      </c>
      <c r="AE18" t="s">
        <v>322</v>
      </c>
      <c r="AG18" t="s">
        <v>381</v>
      </c>
      <c r="AI18" t="s">
        <v>395</v>
      </c>
      <c r="AK18" t="s">
        <v>10</v>
      </c>
    </row>
    <row r="19" spans="4:37" x14ac:dyDescent="0.25">
      <c r="E19" s="6"/>
      <c r="T19" s="22" t="s">
        <v>84</v>
      </c>
      <c r="U19" s="23">
        <v>16</v>
      </c>
      <c r="W19" t="s">
        <v>122</v>
      </c>
      <c r="Y19" t="s">
        <v>194</v>
      </c>
      <c r="AC19" t="s">
        <v>424</v>
      </c>
      <c r="AE19" t="s">
        <v>323</v>
      </c>
      <c r="AG19" t="s">
        <v>382</v>
      </c>
      <c r="AI19" t="s">
        <v>427</v>
      </c>
      <c r="AK19" t="s">
        <v>11</v>
      </c>
    </row>
    <row r="20" spans="4:37" x14ac:dyDescent="0.25">
      <c r="T20" s="22" t="s">
        <v>79</v>
      </c>
      <c r="U20" s="23">
        <v>17</v>
      </c>
      <c r="W20" t="s">
        <v>123</v>
      </c>
      <c r="Y20" t="s">
        <v>195</v>
      </c>
      <c r="AC20" t="s">
        <v>425</v>
      </c>
      <c r="AE20" t="s">
        <v>324</v>
      </c>
      <c r="AG20" t="s">
        <v>383</v>
      </c>
      <c r="AI20" t="s">
        <v>428</v>
      </c>
      <c r="AK20" t="s">
        <v>12</v>
      </c>
    </row>
    <row r="21" spans="4:37" x14ac:dyDescent="0.25">
      <c r="T21" s="22" t="s">
        <v>78</v>
      </c>
      <c r="U21" s="23">
        <v>18</v>
      </c>
      <c r="W21" t="s">
        <v>124</v>
      </c>
      <c r="Y21" t="s">
        <v>120</v>
      </c>
      <c r="AC21" t="s">
        <v>494</v>
      </c>
      <c r="AE21" t="s">
        <v>466</v>
      </c>
      <c r="AG21" t="s">
        <v>384</v>
      </c>
      <c r="AI21" t="s">
        <v>429</v>
      </c>
      <c r="AK21" t="s">
        <v>13</v>
      </c>
    </row>
    <row r="22" spans="4:37" x14ac:dyDescent="0.25">
      <c r="T22" s="22" t="s">
        <v>563</v>
      </c>
      <c r="U22" s="23">
        <v>19</v>
      </c>
      <c r="W22" t="s">
        <v>125</v>
      </c>
      <c r="Y22" t="s">
        <v>196</v>
      </c>
      <c r="AC22" t="s">
        <v>495</v>
      </c>
      <c r="AE22" t="s">
        <v>325</v>
      </c>
      <c r="AG22" t="s">
        <v>457</v>
      </c>
      <c r="AI22" t="s">
        <v>278</v>
      </c>
      <c r="AK22" t="s">
        <v>63</v>
      </c>
    </row>
    <row r="23" spans="4:37" x14ac:dyDescent="0.25">
      <c r="T23" s="22" t="s">
        <v>564</v>
      </c>
      <c r="U23" s="23">
        <v>20</v>
      </c>
      <c r="W23" t="s">
        <v>126</v>
      </c>
      <c r="Y23" t="s">
        <v>123</v>
      </c>
      <c r="AC23" t="s">
        <v>496</v>
      </c>
      <c r="AE23" t="s">
        <v>467</v>
      </c>
      <c r="AG23" t="s">
        <v>458</v>
      </c>
      <c r="AI23" t="s">
        <v>396</v>
      </c>
      <c r="AK23" t="s">
        <v>14</v>
      </c>
    </row>
    <row r="24" spans="4:37" x14ac:dyDescent="0.25">
      <c r="T24" s="22" t="s">
        <v>565</v>
      </c>
      <c r="U24" s="23">
        <v>21</v>
      </c>
      <c r="W24" t="s">
        <v>127</v>
      </c>
      <c r="Y24" t="s">
        <v>197</v>
      </c>
      <c r="AC24" t="s">
        <v>497</v>
      </c>
      <c r="AE24" t="s">
        <v>326</v>
      </c>
      <c r="AG24" t="s">
        <v>459</v>
      </c>
      <c r="AI24" t="s">
        <v>397</v>
      </c>
      <c r="AK24" t="s">
        <v>74</v>
      </c>
    </row>
    <row r="25" spans="4:37" x14ac:dyDescent="0.25">
      <c r="T25" s="22" t="s">
        <v>566</v>
      </c>
      <c r="U25" s="23">
        <v>22</v>
      </c>
      <c r="W25" t="s">
        <v>128</v>
      </c>
      <c r="Y25" t="s">
        <v>198</v>
      </c>
      <c r="AC25" t="s">
        <v>394</v>
      </c>
      <c r="AE25" t="s">
        <v>468</v>
      </c>
      <c r="AG25" t="s">
        <v>590</v>
      </c>
      <c r="AI25" t="s">
        <v>430</v>
      </c>
      <c r="AK25" t="s">
        <v>15</v>
      </c>
    </row>
    <row r="26" spans="4:37" x14ac:dyDescent="0.25">
      <c r="T26" s="22" t="s">
        <v>567</v>
      </c>
      <c r="U26" s="23">
        <v>23</v>
      </c>
      <c r="W26" t="s">
        <v>129</v>
      </c>
      <c r="Y26" t="s">
        <v>199</v>
      </c>
      <c r="AC26" t="s">
        <v>395</v>
      </c>
      <c r="AE26" t="s">
        <v>327</v>
      </c>
      <c r="AG26" t="s">
        <v>385</v>
      </c>
      <c r="AI26" t="s">
        <v>431</v>
      </c>
      <c r="AK26" t="s">
        <v>16</v>
      </c>
    </row>
    <row r="27" spans="4:37" x14ac:dyDescent="0.25">
      <c r="T27" s="22" t="s">
        <v>568</v>
      </c>
      <c r="U27" s="23">
        <v>24</v>
      </c>
      <c r="W27" t="s">
        <v>130</v>
      </c>
      <c r="Y27" t="s">
        <v>200</v>
      </c>
      <c r="AC27" t="s">
        <v>277</v>
      </c>
      <c r="AE27" t="s">
        <v>328</v>
      </c>
      <c r="AG27" t="s">
        <v>460</v>
      </c>
      <c r="AI27" t="s">
        <v>282</v>
      </c>
      <c r="AK27" t="s">
        <v>17</v>
      </c>
    </row>
    <row r="28" spans="4:37" x14ac:dyDescent="0.25">
      <c r="T28" s="22" t="s">
        <v>417</v>
      </c>
      <c r="U28" s="23">
        <v>25</v>
      </c>
      <c r="W28" t="s">
        <v>605</v>
      </c>
      <c r="Y28" t="s">
        <v>126</v>
      </c>
      <c r="AC28" t="s">
        <v>498</v>
      </c>
      <c r="AE28" t="s">
        <v>329</v>
      </c>
      <c r="AG28" t="s">
        <v>405</v>
      </c>
      <c r="AI28" t="s">
        <v>432</v>
      </c>
      <c r="AK28" t="s">
        <v>76</v>
      </c>
    </row>
    <row r="29" spans="4:37" x14ac:dyDescent="0.25">
      <c r="T29" s="22" t="s">
        <v>38</v>
      </c>
      <c r="U29" s="23">
        <v>26</v>
      </c>
      <c r="W29" t="s">
        <v>131</v>
      </c>
      <c r="Y29" t="s">
        <v>201</v>
      </c>
      <c r="AC29" t="s">
        <v>427</v>
      </c>
      <c r="AE29" t="s">
        <v>569</v>
      </c>
      <c r="AG29" t="s">
        <v>591</v>
      </c>
      <c r="AI29" t="s">
        <v>398</v>
      </c>
      <c r="AK29" t="s">
        <v>77</v>
      </c>
    </row>
    <row r="30" spans="4:37" x14ac:dyDescent="0.25">
      <c r="T30" s="22" t="s">
        <v>39</v>
      </c>
      <c r="U30" s="23">
        <v>27</v>
      </c>
      <c r="W30" t="s">
        <v>132</v>
      </c>
      <c r="Y30" t="s">
        <v>202</v>
      </c>
      <c r="AC30" t="s">
        <v>499</v>
      </c>
      <c r="AE30" t="s">
        <v>469</v>
      </c>
      <c r="AG30" t="s">
        <v>386</v>
      </c>
      <c r="AI30" t="s">
        <v>285</v>
      </c>
      <c r="AK30" t="s">
        <v>551</v>
      </c>
    </row>
    <row r="31" spans="4:37" x14ac:dyDescent="0.25">
      <c r="T31" s="22" t="s">
        <v>40</v>
      </c>
      <c r="U31" s="23">
        <v>28</v>
      </c>
      <c r="W31" t="s">
        <v>133</v>
      </c>
      <c r="Y31" t="s">
        <v>203</v>
      </c>
      <c r="AC31" t="s">
        <v>428</v>
      </c>
      <c r="AE31" t="s">
        <v>330</v>
      </c>
      <c r="AG31" t="s">
        <v>155</v>
      </c>
      <c r="AI31" t="s">
        <v>433</v>
      </c>
      <c r="AK31" t="s">
        <v>59</v>
      </c>
    </row>
    <row r="32" spans="4:37" x14ac:dyDescent="0.25">
      <c r="T32" s="22" t="s">
        <v>41</v>
      </c>
      <c r="U32" s="23">
        <v>29</v>
      </c>
      <c r="W32" t="s">
        <v>134</v>
      </c>
      <c r="Y32" t="s">
        <v>204</v>
      </c>
      <c r="AC32" t="s">
        <v>278</v>
      </c>
      <c r="AE32" t="s">
        <v>331</v>
      </c>
      <c r="AG32" t="s">
        <v>387</v>
      </c>
      <c r="AI32" t="s">
        <v>434</v>
      </c>
      <c r="AK32" t="s">
        <v>528</v>
      </c>
    </row>
    <row r="33" spans="20:37" x14ac:dyDescent="0.25">
      <c r="T33" s="22" t="s">
        <v>42</v>
      </c>
      <c r="U33" s="23">
        <v>30</v>
      </c>
      <c r="W33" t="s">
        <v>135</v>
      </c>
      <c r="Y33" t="s">
        <v>604</v>
      </c>
      <c r="AC33" t="s">
        <v>279</v>
      </c>
      <c r="AE33" t="s">
        <v>332</v>
      </c>
      <c r="AG33" t="s">
        <v>461</v>
      </c>
      <c r="AI33" t="s">
        <v>95</v>
      </c>
      <c r="AK33" t="s">
        <v>34</v>
      </c>
    </row>
    <row r="34" spans="20:37" x14ac:dyDescent="0.25">
      <c r="T34" s="22" t="s">
        <v>95</v>
      </c>
      <c r="U34" s="23">
        <v>31</v>
      </c>
      <c r="W34" t="s">
        <v>136</v>
      </c>
      <c r="Y34" t="s">
        <v>130</v>
      </c>
      <c r="AC34" t="s">
        <v>500</v>
      </c>
      <c r="AE34" t="s">
        <v>333</v>
      </c>
      <c r="AG34" t="s">
        <v>388</v>
      </c>
      <c r="AI34" t="s">
        <v>399</v>
      </c>
      <c r="AK34" t="s">
        <v>35</v>
      </c>
    </row>
    <row r="35" spans="20:37" x14ac:dyDescent="0.25">
      <c r="T35" s="22" t="s">
        <v>96</v>
      </c>
      <c r="U35" s="23">
        <v>32</v>
      </c>
      <c r="W35" t="s">
        <v>137</v>
      </c>
      <c r="Y35" t="s">
        <v>205</v>
      </c>
      <c r="AC35" t="s">
        <v>593</v>
      </c>
      <c r="AE35" t="s">
        <v>470</v>
      </c>
      <c r="AG35" t="s">
        <v>462</v>
      </c>
      <c r="AI35" t="s">
        <v>287</v>
      </c>
      <c r="AK35" t="s">
        <v>18</v>
      </c>
    </row>
    <row r="36" spans="20:37" x14ac:dyDescent="0.25">
      <c r="T36" s="22" t="s">
        <v>61</v>
      </c>
      <c r="U36" s="23">
        <v>33</v>
      </c>
      <c r="W36" t="s">
        <v>138</v>
      </c>
      <c r="Y36" t="s">
        <v>131</v>
      </c>
      <c r="AC36" t="s">
        <v>397</v>
      </c>
      <c r="AE36" t="s">
        <v>334</v>
      </c>
      <c r="AG36" t="s">
        <v>389</v>
      </c>
      <c r="AI36" t="s">
        <v>288</v>
      </c>
      <c r="AK36" t="s">
        <v>19</v>
      </c>
    </row>
    <row r="37" spans="20:37" x14ac:dyDescent="0.25">
      <c r="T37" s="22" t="s">
        <v>418</v>
      </c>
      <c r="U37" s="23">
        <v>34</v>
      </c>
      <c r="W37" t="s">
        <v>139</v>
      </c>
      <c r="Y37" t="s">
        <v>206</v>
      </c>
      <c r="AC37" t="s">
        <v>280</v>
      </c>
      <c r="AE37" t="s">
        <v>335</v>
      </c>
      <c r="AG37" t="s">
        <v>390</v>
      </c>
      <c r="AI37" t="s">
        <v>435</v>
      </c>
      <c r="AK37" t="s">
        <v>20</v>
      </c>
    </row>
    <row r="38" spans="20:37" x14ac:dyDescent="0.25">
      <c r="W38" t="s">
        <v>140</v>
      </c>
      <c r="Y38" t="s">
        <v>207</v>
      </c>
      <c r="AC38" t="s">
        <v>430</v>
      </c>
      <c r="AE38" t="s">
        <v>336</v>
      </c>
      <c r="AG38" t="s">
        <v>364</v>
      </c>
      <c r="AI38" t="s">
        <v>436</v>
      </c>
      <c r="AK38" t="s">
        <v>21</v>
      </c>
    </row>
    <row r="39" spans="20:37" x14ac:dyDescent="0.25">
      <c r="W39" t="s">
        <v>141</v>
      </c>
      <c r="Y39" t="s">
        <v>133</v>
      </c>
      <c r="AC39" t="s">
        <v>281</v>
      </c>
      <c r="AE39" t="s">
        <v>337</v>
      </c>
      <c r="AG39" t="s">
        <v>175</v>
      </c>
      <c r="AI39" t="s">
        <v>400</v>
      </c>
      <c r="AK39" t="s">
        <v>22</v>
      </c>
    </row>
    <row r="40" spans="20:37" x14ac:dyDescent="0.25">
      <c r="W40" t="s">
        <v>142</v>
      </c>
      <c r="Y40" t="s">
        <v>208</v>
      </c>
      <c r="AC40" t="s">
        <v>282</v>
      </c>
      <c r="AE40" t="s">
        <v>576</v>
      </c>
      <c r="AG40" t="s">
        <v>178</v>
      </c>
      <c r="AI40" t="s">
        <v>437</v>
      </c>
      <c r="AK40" t="s">
        <v>53</v>
      </c>
    </row>
    <row r="41" spans="20:37" x14ac:dyDescent="0.25">
      <c r="W41" t="s">
        <v>143</v>
      </c>
      <c r="Y41" t="s">
        <v>135</v>
      </c>
      <c r="AC41" t="s">
        <v>283</v>
      </c>
      <c r="AE41" t="s">
        <v>338</v>
      </c>
      <c r="AI41" t="s">
        <v>438</v>
      </c>
      <c r="AK41" t="s">
        <v>54</v>
      </c>
    </row>
    <row r="42" spans="20:37" x14ac:dyDescent="0.25">
      <c r="W42" t="s">
        <v>144</v>
      </c>
      <c r="Y42" t="s">
        <v>136</v>
      </c>
      <c r="AC42" t="s">
        <v>501</v>
      </c>
      <c r="AE42" t="s">
        <v>339</v>
      </c>
      <c r="AI42" t="s">
        <v>439</v>
      </c>
      <c r="AK42" t="s">
        <v>55</v>
      </c>
    </row>
    <row r="43" spans="20:37" x14ac:dyDescent="0.25">
      <c r="W43" t="s">
        <v>574</v>
      </c>
      <c r="Y43" t="s">
        <v>138</v>
      </c>
      <c r="AC43" t="s">
        <v>284</v>
      </c>
      <c r="AE43" t="s">
        <v>471</v>
      </c>
      <c r="AI43" t="s">
        <v>596</v>
      </c>
      <c r="AK43" t="s">
        <v>56</v>
      </c>
    </row>
    <row r="44" spans="20:37" x14ac:dyDescent="0.25">
      <c r="W44" t="s">
        <v>145</v>
      </c>
      <c r="Y44" t="s">
        <v>209</v>
      </c>
      <c r="AC44" t="s">
        <v>285</v>
      </c>
      <c r="AE44" t="s">
        <v>600</v>
      </c>
      <c r="AI44" t="s">
        <v>289</v>
      </c>
      <c r="AK44" t="s">
        <v>57</v>
      </c>
    </row>
    <row r="45" spans="20:37" x14ac:dyDescent="0.25">
      <c r="W45" t="s">
        <v>146</v>
      </c>
      <c r="Y45" t="s">
        <v>210</v>
      </c>
      <c r="AC45" t="s">
        <v>286</v>
      </c>
      <c r="AE45" t="s">
        <v>340</v>
      </c>
      <c r="AI45" t="s">
        <v>98</v>
      </c>
      <c r="AK45" t="s">
        <v>58</v>
      </c>
    </row>
    <row r="46" spans="20:37" x14ac:dyDescent="0.25">
      <c r="W46" t="s">
        <v>147</v>
      </c>
      <c r="Y46" t="s">
        <v>211</v>
      </c>
      <c r="AC46" t="s">
        <v>434</v>
      </c>
      <c r="AE46" t="s">
        <v>341</v>
      </c>
      <c r="AI46" t="s">
        <v>440</v>
      </c>
      <c r="AK46" t="s">
        <v>541</v>
      </c>
    </row>
    <row r="47" spans="20:37" x14ac:dyDescent="0.25">
      <c r="W47" t="s">
        <v>148</v>
      </c>
      <c r="Y47" t="s">
        <v>212</v>
      </c>
      <c r="AC47" t="s">
        <v>95</v>
      </c>
      <c r="AE47" t="s">
        <v>472</v>
      </c>
      <c r="AI47" t="s">
        <v>441</v>
      </c>
      <c r="AK47" t="s">
        <v>542</v>
      </c>
    </row>
    <row r="48" spans="20:37" x14ac:dyDescent="0.25">
      <c r="W48" t="s">
        <v>149</v>
      </c>
      <c r="Y48" t="s">
        <v>213</v>
      </c>
      <c r="AC48" t="s">
        <v>287</v>
      </c>
      <c r="AE48" t="s">
        <v>473</v>
      </c>
      <c r="AI48" t="s">
        <v>401</v>
      </c>
      <c r="AK48" t="s">
        <v>544</v>
      </c>
    </row>
    <row r="49" spans="23:37" x14ac:dyDescent="0.25">
      <c r="W49" t="s">
        <v>150</v>
      </c>
      <c r="Y49" t="s">
        <v>214</v>
      </c>
      <c r="AC49" t="s">
        <v>288</v>
      </c>
      <c r="AE49" t="s">
        <v>342</v>
      </c>
      <c r="AI49" t="s">
        <v>442</v>
      </c>
      <c r="AK49" t="s">
        <v>546</v>
      </c>
    </row>
    <row r="50" spans="23:37" x14ac:dyDescent="0.25">
      <c r="W50" t="s">
        <v>151</v>
      </c>
      <c r="Y50" t="s">
        <v>215</v>
      </c>
      <c r="AC50" t="s">
        <v>435</v>
      </c>
      <c r="AE50" t="s">
        <v>474</v>
      </c>
      <c r="AI50" t="s">
        <v>290</v>
      </c>
      <c r="AK50" t="s">
        <v>548</v>
      </c>
    </row>
    <row r="51" spans="23:37" x14ac:dyDescent="0.25">
      <c r="W51" t="s">
        <v>152</v>
      </c>
      <c r="Y51" t="s">
        <v>216</v>
      </c>
      <c r="AC51" t="s">
        <v>502</v>
      </c>
      <c r="AE51" t="s">
        <v>343</v>
      </c>
      <c r="AI51" t="s">
        <v>594</v>
      </c>
      <c r="AK51" t="s">
        <v>549</v>
      </c>
    </row>
    <row r="52" spans="23:37" x14ac:dyDescent="0.25">
      <c r="W52" t="s">
        <v>153</v>
      </c>
      <c r="Y52" t="s">
        <v>217</v>
      </c>
      <c r="AC52" t="s">
        <v>289</v>
      </c>
      <c r="AE52" t="s">
        <v>475</v>
      </c>
      <c r="AI52" t="s">
        <v>402</v>
      </c>
      <c r="AK52" t="s">
        <v>550</v>
      </c>
    </row>
    <row r="53" spans="23:37" x14ac:dyDescent="0.25">
      <c r="W53" t="s">
        <v>154</v>
      </c>
      <c r="Y53" t="s">
        <v>218</v>
      </c>
      <c r="AC53" t="s">
        <v>440</v>
      </c>
      <c r="AE53" t="s">
        <v>476</v>
      </c>
      <c r="AI53" t="s">
        <v>403</v>
      </c>
      <c r="AK53" t="s">
        <v>552</v>
      </c>
    </row>
    <row r="54" spans="23:37" x14ac:dyDescent="0.25">
      <c r="W54" t="s">
        <v>155</v>
      </c>
      <c r="Y54" t="s">
        <v>219</v>
      </c>
      <c r="AC54" t="s">
        <v>441</v>
      </c>
      <c r="AE54" t="s">
        <v>344</v>
      </c>
      <c r="AI54" t="s">
        <v>443</v>
      </c>
      <c r="AK54" t="s">
        <v>553</v>
      </c>
    </row>
    <row r="55" spans="23:37" x14ac:dyDescent="0.25">
      <c r="W55" t="s">
        <v>156</v>
      </c>
      <c r="Y55" t="s">
        <v>220</v>
      </c>
      <c r="AC55" t="s">
        <v>503</v>
      </c>
      <c r="AE55" t="s">
        <v>477</v>
      </c>
      <c r="AI55" t="s">
        <v>404</v>
      </c>
      <c r="AK55" t="s">
        <v>554</v>
      </c>
    </row>
    <row r="56" spans="23:37" x14ac:dyDescent="0.25">
      <c r="W56" t="s">
        <v>157</v>
      </c>
      <c r="Y56" t="s">
        <v>221</v>
      </c>
      <c r="AC56" t="s">
        <v>442</v>
      </c>
      <c r="AE56" t="s">
        <v>478</v>
      </c>
      <c r="AI56" t="s">
        <v>291</v>
      </c>
      <c r="AK56" t="s">
        <v>555</v>
      </c>
    </row>
    <row r="57" spans="23:37" x14ac:dyDescent="0.25">
      <c r="W57" t="s">
        <v>158</v>
      </c>
      <c r="Y57" t="s">
        <v>222</v>
      </c>
      <c r="AC57" t="s">
        <v>594</v>
      </c>
      <c r="AE57" t="s">
        <v>345</v>
      </c>
      <c r="AI57" t="s">
        <v>444</v>
      </c>
      <c r="AK57" t="s">
        <v>556</v>
      </c>
    </row>
    <row r="58" spans="23:37" x14ac:dyDescent="0.25">
      <c r="W58" t="s">
        <v>159</v>
      </c>
      <c r="Y58" t="s">
        <v>223</v>
      </c>
      <c r="AC58" t="s">
        <v>290</v>
      </c>
      <c r="AE58" t="s">
        <v>479</v>
      </c>
      <c r="AI58" t="s">
        <v>445</v>
      </c>
      <c r="AK58" t="s">
        <v>557</v>
      </c>
    </row>
    <row r="59" spans="23:37" x14ac:dyDescent="0.25">
      <c r="W59" t="s">
        <v>160</v>
      </c>
      <c r="Y59" t="s">
        <v>224</v>
      </c>
      <c r="AC59" t="s">
        <v>402</v>
      </c>
      <c r="AE59" t="s">
        <v>480</v>
      </c>
      <c r="AI59" t="s">
        <v>405</v>
      </c>
      <c r="AK59" t="s">
        <v>533</v>
      </c>
    </row>
    <row r="60" spans="23:37" x14ac:dyDescent="0.25">
      <c r="W60" t="s">
        <v>161</v>
      </c>
      <c r="Y60" t="s">
        <v>225</v>
      </c>
      <c r="AC60" t="s">
        <v>504</v>
      </c>
      <c r="AE60" t="s">
        <v>481</v>
      </c>
      <c r="AI60" t="s">
        <v>292</v>
      </c>
      <c r="AK60" t="s">
        <v>534</v>
      </c>
    </row>
    <row r="61" spans="23:37" x14ac:dyDescent="0.25">
      <c r="W61" t="s">
        <v>162</v>
      </c>
      <c r="Y61" t="s">
        <v>226</v>
      </c>
      <c r="AC61" t="s">
        <v>291</v>
      </c>
      <c r="AE61" t="s">
        <v>346</v>
      </c>
      <c r="AI61" t="s">
        <v>597</v>
      </c>
      <c r="AK61" t="s">
        <v>535</v>
      </c>
    </row>
    <row r="62" spans="23:37" x14ac:dyDescent="0.25">
      <c r="W62" t="s">
        <v>163</v>
      </c>
      <c r="Y62" t="s">
        <v>227</v>
      </c>
      <c r="AC62" t="s">
        <v>445</v>
      </c>
      <c r="AE62" t="s">
        <v>347</v>
      </c>
      <c r="AI62" t="s">
        <v>406</v>
      </c>
      <c r="AK62" t="s">
        <v>536</v>
      </c>
    </row>
    <row r="63" spans="23:37" x14ac:dyDescent="0.25">
      <c r="W63" t="s">
        <v>164</v>
      </c>
      <c r="Y63" t="s">
        <v>228</v>
      </c>
      <c r="AC63" t="s">
        <v>292</v>
      </c>
      <c r="AE63" t="s">
        <v>348</v>
      </c>
      <c r="AI63" t="s">
        <v>296</v>
      </c>
      <c r="AK63" t="s">
        <v>537</v>
      </c>
    </row>
    <row r="64" spans="23:37" x14ac:dyDescent="0.25">
      <c r="W64" t="s">
        <v>165</v>
      </c>
      <c r="Y64" t="s">
        <v>229</v>
      </c>
      <c r="AC64" t="s">
        <v>293</v>
      </c>
      <c r="AE64" t="s">
        <v>349</v>
      </c>
      <c r="AI64" t="s">
        <v>154</v>
      </c>
      <c r="AK64" t="s">
        <v>369</v>
      </c>
    </row>
    <row r="65" spans="23:37" x14ac:dyDescent="0.25">
      <c r="W65" t="s">
        <v>166</v>
      </c>
      <c r="Y65" t="s">
        <v>230</v>
      </c>
      <c r="AC65" t="s">
        <v>294</v>
      </c>
      <c r="AE65" t="s">
        <v>350</v>
      </c>
      <c r="AI65" t="s">
        <v>446</v>
      </c>
      <c r="AK65" t="s">
        <v>538</v>
      </c>
    </row>
    <row r="66" spans="23:37" x14ac:dyDescent="0.25">
      <c r="W66" t="s">
        <v>167</v>
      </c>
      <c r="Y66" t="s">
        <v>231</v>
      </c>
      <c r="AC66" t="s">
        <v>295</v>
      </c>
      <c r="AE66" t="s">
        <v>482</v>
      </c>
      <c r="AI66" t="s">
        <v>598</v>
      </c>
      <c r="AK66" t="s">
        <v>539</v>
      </c>
    </row>
    <row r="67" spans="23:37" x14ac:dyDescent="0.25">
      <c r="W67" t="s">
        <v>168</v>
      </c>
      <c r="Y67" t="s">
        <v>232</v>
      </c>
      <c r="AC67" t="s">
        <v>505</v>
      </c>
      <c r="AE67" t="s">
        <v>351</v>
      </c>
      <c r="AI67" t="s">
        <v>300</v>
      </c>
      <c r="AK67" t="s">
        <v>532</v>
      </c>
    </row>
    <row r="68" spans="23:37" x14ac:dyDescent="0.25">
      <c r="W68" t="s">
        <v>169</v>
      </c>
      <c r="Y68" t="s">
        <v>148</v>
      </c>
      <c r="AC68" t="s">
        <v>506</v>
      </c>
      <c r="AE68" t="s">
        <v>352</v>
      </c>
      <c r="AI68" t="s">
        <v>447</v>
      </c>
      <c r="AK68" t="s">
        <v>540</v>
      </c>
    </row>
    <row r="69" spans="23:37" x14ac:dyDescent="0.25">
      <c r="W69" t="s">
        <v>170</v>
      </c>
      <c r="Y69" t="s">
        <v>233</v>
      </c>
      <c r="AC69" t="s">
        <v>507</v>
      </c>
      <c r="AE69" t="s">
        <v>353</v>
      </c>
      <c r="AI69" t="s">
        <v>448</v>
      </c>
      <c r="AK69" t="s">
        <v>531</v>
      </c>
    </row>
    <row r="70" spans="23:37" x14ac:dyDescent="0.25">
      <c r="W70" t="s">
        <v>171</v>
      </c>
      <c r="Y70" t="s">
        <v>150</v>
      </c>
      <c r="AC70" t="s">
        <v>296</v>
      </c>
      <c r="AE70" t="s">
        <v>354</v>
      </c>
      <c r="AI70" t="s">
        <v>449</v>
      </c>
      <c r="AK70" t="s">
        <v>572</v>
      </c>
    </row>
    <row r="71" spans="23:37" x14ac:dyDescent="0.25">
      <c r="W71" t="s">
        <v>172</v>
      </c>
      <c r="Y71" t="s">
        <v>234</v>
      </c>
      <c r="AC71" t="s">
        <v>297</v>
      </c>
      <c r="AE71" t="s">
        <v>483</v>
      </c>
      <c r="AI71" t="s">
        <v>302</v>
      </c>
      <c r="AK71" t="s">
        <v>573</v>
      </c>
    </row>
    <row r="72" spans="23:37" x14ac:dyDescent="0.25">
      <c r="W72" t="s">
        <v>173</v>
      </c>
      <c r="Y72" t="s">
        <v>235</v>
      </c>
      <c r="AC72" t="s">
        <v>298</v>
      </c>
      <c r="AE72" t="s">
        <v>484</v>
      </c>
      <c r="AI72" t="s">
        <v>303</v>
      </c>
      <c r="AK72" t="s">
        <v>543</v>
      </c>
    </row>
    <row r="73" spans="23:37" x14ac:dyDescent="0.25">
      <c r="W73" t="s">
        <v>174</v>
      </c>
      <c r="Y73" t="s">
        <v>160</v>
      </c>
      <c r="AC73" t="s">
        <v>595</v>
      </c>
      <c r="AE73" t="s">
        <v>485</v>
      </c>
      <c r="AI73" t="s">
        <v>450</v>
      </c>
      <c r="AK73" t="s">
        <v>545</v>
      </c>
    </row>
    <row r="74" spans="23:37" x14ac:dyDescent="0.25">
      <c r="W74" t="s">
        <v>175</v>
      </c>
      <c r="Y74" t="s">
        <v>236</v>
      </c>
      <c r="AC74" t="s">
        <v>154</v>
      </c>
      <c r="AE74" t="s">
        <v>601</v>
      </c>
      <c r="AI74" t="s">
        <v>388</v>
      </c>
      <c r="AK74" t="s">
        <v>547</v>
      </c>
    </row>
    <row r="75" spans="23:37" x14ac:dyDescent="0.25">
      <c r="W75" t="s">
        <v>176</v>
      </c>
      <c r="Y75" t="s">
        <v>237</v>
      </c>
      <c r="AC75" t="s">
        <v>508</v>
      </c>
      <c r="AE75" t="s">
        <v>355</v>
      </c>
      <c r="AI75" t="s">
        <v>305</v>
      </c>
    </row>
    <row r="76" spans="23:37" x14ac:dyDescent="0.25">
      <c r="W76" t="s">
        <v>177</v>
      </c>
      <c r="Y76" t="s">
        <v>238</v>
      </c>
      <c r="AC76" t="s">
        <v>299</v>
      </c>
      <c r="AE76" t="s">
        <v>602</v>
      </c>
      <c r="AI76" t="s">
        <v>41</v>
      </c>
    </row>
    <row r="77" spans="23:37" x14ac:dyDescent="0.25">
      <c r="W77" t="s">
        <v>178</v>
      </c>
      <c r="Y77" t="s">
        <v>239</v>
      </c>
      <c r="AC77" t="s">
        <v>446</v>
      </c>
      <c r="AE77" t="s">
        <v>356</v>
      </c>
      <c r="AI77" t="s">
        <v>306</v>
      </c>
    </row>
    <row r="78" spans="23:37" x14ac:dyDescent="0.25">
      <c r="W78" t="s">
        <v>179</v>
      </c>
      <c r="Y78" t="s">
        <v>240</v>
      </c>
      <c r="AC78" t="s">
        <v>300</v>
      </c>
      <c r="AE78" t="s">
        <v>357</v>
      </c>
      <c r="AI78" t="s">
        <v>307</v>
      </c>
    </row>
    <row r="79" spans="23:37" x14ac:dyDescent="0.25">
      <c r="W79" t="s">
        <v>180</v>
      </c>
      <c r="Y79" t="s">
        <v>167</v>
      </c>
      <c r="AC79" t="s">
        <v>447</v>
      </c>
      <c r="AE79" t="s">
        <v>603</v>
      </c>
      <c r="AI79" t="s">
        <v>309</v>
      </c>
    </row>
    <row r="80" spans="23:37" x14ac:dyDescent="0.25">
      <c r="W80" t="s">
        <v>181</v>
      </c>
      <c r="Y80" t="s">
        <v>241</v>
      </c>
      <c r="AC80" t="s">
        <v>301</v>
      </c>
      <c r="AE80" t="s">
        <v>358</v>
      </c>
      <c r="AI80" t="s">
        <v>451</v>
      </c>
    </row>
    <row r="81" spans="25:35" x14ac:dyDescent="0.25">
      <c r="Y81" t="s">
        <v>242</v>
      </c>
      <c r="AC81" t="s">
        <v>509</v>
      </c>
      <c r="AE81" t="s">
        <v>359</v>
      </c>
      <c r="AI81" t="s">
        <v>310</v>
      </c>
    </row>
    <row r="82" spans="25:35" x14ac:dyDescent="0.25">
      <c r="Y82" t="s">
        <v>243</v>
      </c>
      <c r="AC82" t="s">
        <v>448</v>
      </c>
      <c r="AE82" t="s">
        <v>360</v>
      </c>
      <c r="AI82" t="s">
        <v>94</v>
      </c>
    </row>
    <row r="83" spans="25:35" x14ac:dyDescent="0.25">
      <c r="Y83" t="s">
        <v>244</v>
      </c>
      <c r="AC83" t="s">
        <v>302</v>
      </c>
      <c r="AE83" t="s">
        <v>571</v>
      </c>
      <c r="AI83" t="s">
        <v>407</v>
      </c>
    </row>
    <row r="84" spans="25:35" x14ac:dyDescent="0.25">
      <c r="Y84" t="s">
        <v>245</v>
      </c>
      <c r="AC84" t="s">
        <v>303</v>
      </c>
      <c r="AE84" t="s">
        <v>361</v>
      </c>
      <c r="AI84" t="s">
        <v>452</v>
      </c>
    </row>
    <row r="85" spans="25:35" x14ac:dyDescent="0.25">
      <c r="Y85" t="s">
        <v>246</v>
      </c>
      <c r="AC85" t="s">
        <v>388</v>
      </c>
      <c r="AE85" t="s">
        <v>362</v>
      </c>
      <c r="AI85" t="s">
        <v>453</v>
      </c>
    </row>
    <row r="86" spans="25:35" x14ac:dyDescent="0.25">
      <c r="Y86" t="s">
        <v>247</v>
      </c>
      <c r="AC86" t="s">
        <v>304</v>
      </c>
      <c r="AE86" t="s">
        <v>363</v>
      </c>
    </row>
    <row r="87" spans="25:35" x14ac:dyDescent="0.25">
      <c r="Y87" t="s">
        <v>248</v>
      </c>
      <c r="AC87" t="s">
        <v>305</v>
      </c>
      <c r="AE87" t="s">
        <v>486</v>
      </c>
    </row>
    <row r="88" spans="25:35" x14ac:dyDescent="0.25">
      <c r="Y88" t="s">
        <v>249</v>
      </c>
      <c r="AC88" t="s">
        <v>306</v>
      </c>
      <c r="AE88" t="s">
        <v>487</v>
      </c>
    </row>
    <row r="89" spans="25:35" x14ac:dyDescent="0.25">
      <c r="Y89" t="s">
        <v>250</v>
      </c>
      <c r="AC89" t="s">
        <v>307</v>
      </c>
      <c r="AE89" t="s">
        <v>365</v>
      </c>
    </row>
    <row r="90" spans="25:35" x14ac:dyDescent="0.25">
      <c r="Y90" t="s">
        <v>251</v>
      </c>
      <c r="AC90" t="s">
        <v>308</v>
      </c>
      <c r="AE90" t="s">
        <v>366</v>
      </c>
    </row>
    <row r="91" spans="25:35" x14ac:dyDescent="0.25">
      <c r="Y91" t="s">
        <v>252</v>
      </c>
      <c r="AC91" t="s">
        <v>309</v>
      </c>
      <c r="AE91" t="s">
        <v>488</v>
      </c>
    </row>
    <row r="92" spans="25:35" x14ac:dyDescent="0.25">
      <c r="Y92" t="s">
        <v>253</v>
      </c>
      <c r="AC92" t="s">
        <v>310</v>
      </c>
      <c r="AE92" t="s">
        <v>367</v>
      </c>
    </row>
    <row r="93" spans="25:35" x14ac:dyDescent="0.25">
      <c r="Y93" t="s">
        <v>254</v>
      </c>
      <c r="AC93" t="s">
        <v>311</v>
      </c>
      <c r="AE93" t="s">
        <v>368</v>
      </c>
    </row>
    <row r="94" spans="25:35" x14ac:dyDescent="0.25">
      <c r="Y94" t="s">
        <v>255</v>
      </c>
      <c r="AC94" t="s">
        <v>452</v>
      </c>
    </row>
    <row r="95" spans="25:35" x14ac:dyDescent="0.25">
      <c r="Y95" t="s">
        <v>256</v>
      </c>
      <c r="AC95" t="s">
        <v>510</v>
      </c>
    </row>
    <row r="96" spans="25:35" x14ac:dyDescent="0.25">
      <c r="Y96" t="s">
        <v>257</v>
      </c>
    </row>
    <row r="97" spans="25:25" x14ac:dyDescent="0.25">
      <c r="Y97" t="s">
        <v>181</v>
      </c>
    </row>
    <row r="98" spans="25:25" x14ac:dyDescent="0.25">
      <c r="Y98" t="s">
        <v>258</v>
      </c>
    </row>
    <row r="99" spans="25:25" x14ac:dyDescent="0.25">
      <c r="Y99" t="s">
        <v>259</v>
      </c>
    </row>
  </sheetData>
  <sheetProtection algorithmName="SHA-512" hashValue="qMTg2QbshmZOVcg2Ac0xxgzfTbUg4CnUb/V2XssAPpLuBUkxXcpSa2Hxgc7iBzVaVAL4DZcAfzYy1PAW28RjmA==" saltValue="4qRbWcSPSptGLfe7mmrHHg==" spinCount="100000" sheet="1" objects="1" scenarios="1"/>
  <phoneticPr fontId="7" type="noConversion"/>
  <pageMargins left="0.7" right="0.7" top="0.75" bottom="0.75" header="0.3" footer="0.3"/>
  <tableParts count="1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9DE9C-98C9-4DDD-9FB5-AE88F08F6279}">
  <sheetPr codeName="Sheet5"/>
  <dimension ref="A1:J2"/>
  <sheetViews>
    <sheetView showGridLines="0" workbookViewId="0">
      <selection activeCell="G11" sqref="G11"/>
    </sheetView>
  </sheetViews>
  <sheetFormatPr defaultColWidth="16.5703125" defaultRowHeight="15" x14ac:dyDescent="0.25"/>
  <cols>
    <col min="1" max="1" width="16.85546875" style="1" bestFit="1" customWidth="1"/>
    <col min="2" max="2" width="14.140625" style="1" bestFit="1" customWidth="1"/>
    <col min="3" max="3" width="8.7109375" style="1" bestFit="1" customWidth="1"/>
    <col min="4" max="4" width="14.85546875" style="1" bestFit="1" customWidth="1"/>
    <col min="5" max="5" width="12.42578125" style="1" bestFit="1" customWidth="1"/>
    <col min="6" max="6" width="14.5703125" style="1" bestFit="1" customWidth="1"/>
    <col min="7" max="7" width="18.28515625" style="1" bestFit="1" customWidth="1"/>
    <col min="8" max="8" width="18" style="1" bestFit="1" customWidth="1"/>
    <col min="9" max="9" width="28" style="1" bestFit="1" customWidth="1"/>
    <col min="10" max="10" width="25.7109375" style="1" bestFit="1" customWidth="1"/>
    <col min="11" max="16384" width="16.5703125" style="1"/>
  </cols>
  <sheetData>
    <row r="1" spans="1:10" x14ac:dyDescent="0.25">
      <c r="A1" s="2" t="s">
        <v>24</v>
      </c>
      <c r="B1" s="2" t="s">
        <v>29</v>
      </c>
      <c r="C1" s="2" t="s">
        <v>26</v>
      </c>
      <c r="D1" s="2" t="s">
        <v>27</v>
      </c>
      <c r="E1" s="2" t="s">
        <v>28</v>
      </c>
      <c r="F1" s="3" t="s">
        <v>25</v>
      </c>
      <c r="G1" s="2" t="s">
        <v>30</v>
      </c>
      <c r="H1" s="2" t="s">
        <v>31</v>
      </c>
      <c r="I1" s="2" t="s">
        <v>32</v>
      </c>
      <c r="J1" s="2" t="s">
        <v>33</v>
      </c>
    </row>
    <row r="2" spans="1:10" x14ac:dyDescent="0.25">
      <c r="A2" s="1">
        <f>'Tracking Report'!G3</f>
        <v>0</v>
      </c>
      <c r="B2" s="1">
        <f>'Tracking Report'!G4</f>
        <v>0</v>
      </c>
      <c r="C2" s="1">
        <f>'Tracking Report'!G5</f>
        <v>0</v>
      </c>
      <c r="D2" s="1">
        <f>'Tracking Report'!G6</f>
        <v>0</v>
      </c>
      <c r="E2" s="1">
        <f>'Tracking Report'!G7</f>
        <v>0</v>
      </c>
      <c r="F2" s="1">
        <f>'Tracking Report'!I3</f>
        <v>0</v>
      </c>
      <c r="G2" s="4">
        <f>'Tracking Report'!I4</f>
        <v>0</v>
      </c>
      <c r="H2" s="4">
        <f>'Tracking Report'!I5</f>
        <v>0</v>
      </c>
      <c r="I2" s="4">
        <f>'Tracking Report'!I6</f>
        <v>0</v>
      </c>
      <c r="J2" s="4">
        <f>'Tracking Report'!I7</f>
        <v>0</v>
      </c>
    </row>
  </sheetData>
  <sheetProtection algorithmName="SHA-512" hashValue="8AVqkrXOUjPEw14ixOJ7mCaqk20g//7D6btTGCWHdnT5b+qrioXE6D1ZcQpBQ80M7bFwseIToRWRTIbTvxAqWQ==" saltValue="/yUylqdVGtN69AI2+vSp1w==" spinCount="100000" sheet="1" objects="1" scenarios="1"/>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B56CC07929CBB40BA10076665186145" ma:contentTypeVersion="19" ma:contentTypeDescription="Create a new document." ma:contentTypeScope="" ma:versionID="bca88a1b191e366d5da816c850c328f9">
  <xsd:schema xmlns:xsd="http://www.w3.org/2001/XMLSchema" xmlns:xs="http://www.w3.org/2001/XMLSchema" xmlns:p="http://schemas.microsoft.com/office/2006/metadata/properties" xmlns:ns2="cafbab31-79ca-4b77-b3b8-42244a2a62c3" xmlns:ns3="7728fd35-845b-462b-86d8-9c243a2cf38c" targetNamespace="http://schemas.microsoft.com/office/2006/metadata/properties" ma:root="true" ma:fieldsID="050f241451c3146f090f55f38bbfde76" ns2:_="" ns3:_="">
    <xsd:import namespace="cafbab31-79ca-4b77-b3b8-42244a2a62c3"/>
    <xsd:import namespace="7728fd35-845b-462b-86d8-9c243a2cf38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fbab31-79ca-4b77-b3b8-42244a2a62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d4014e4-4e0a-4d96-bdf7-b69ed77b42f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d" ma:index="26" nillable="true" ma:displayName="d" ma:format="Hyperlink" ma:internalName="d">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728fd35-845b-462b-86d8-9c243a2cf38c"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3c268ff-10a3-44ea-8425-dfdfdad3ce6f}" ma:internalName="TaxCatchAll" ma:showField="CatchAllData" ma:web="7728fd35-845b-462b-86d8-9c243a2cf38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TaxCatchAll xmlns="7728fd35-845b-462b-86d8-9c243a2cf38c" xsi:nil="true"/>
    <lcf76f155ced4ddcb4097134ff3c332f xmlns="cafbab31-79ca-4b77-b3b8-42244a2a62c3">
      <Terms xmlns="http://schemas.microsoft.com/office/infopath/2007/PartnerControls"/>
    </lcf76f155ced4ddcb4097134ff3c332f>
    <d xmlns="cafbab31-79ca-4b77-b3b8-42244a2a62c3">
      <Url xsi:nil="true"/>
      <Description xsi:nil="true"/>
    </d>
  </documentManagement>
</p:properties>
</file>

<file path=customXml/itemProps1.xml><?xml version="1.0" encoding="utf-8"?>
<ds:datastoreItem xmlns:ds="http://schemas.openxmlformats.org/officeDocument/2006/customXml" ds:itemID="{EA8ABA24-7ADC-4036-9608-CF45C904C415}">
  <ds:schemaRefs>
    <ds:schemaRef ds:uri="http://schemas.microsoft.com/sharepoint/v3/contenttype/forms"/>
  </ds:schemaRefs>
</ds:datastoreItem>
</file>

<file path=customXml/itemProps2.xml><?xml version="1.0" encoding="utf-8"?>
<ds:datastoreItem xmlns:ds="http://schemas.openxmlformats.org/officeDocument/2006/customXml" ds:itemID="{D331BE4F-780A-4B34-8505-BDAA11C533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fbab31-79ca-4b77-b3b8-42244a2a62c3"/>
    <ds:schemaRef ds:uri="7728fd35-845b-462b-86d8-9c243a2cf3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963294F-4EAE-46F5-BE00-D967A2501321}">
  <ds:schemaRefs>
    <ds:schemaRef ds:uri="http://schemas.microsoft.com/DataMashup"/>
  </ds:schemaRefs>
</ds:datastoreItem>
</file>

<file path=customXml/itemProps4.xml><?xml version="1.0" encoding="utf-8"?>
<ds:datastoreItem xmlns:ds="http://schemas.openxmlformats.org/officeDocument/2006/customXml" ds:itemID="{F736B643-C5DF-4A53-8EE5-DAA8F4D63A62}">
  <ds:schemaRefs>
    <ds:schemaRef ds:uri="http://schemas.microsoft.com/office/2006/metadata/properties"/>
    <ds:schemaRef ds:uri="http://schemas.microsoft.com/office/2006/documentManagement/types"/>
    <ds:schemaRef ds:uri="http://purl.org/dc/terms/"/>
    <ds:schemaRef ds:uri="cafbab31-79ca-4b77-b3b8-42244a2a62c3"/>
    <ds:schemaRef ds:uri="http://purl.org/dc/elements/1.1/"/>
    <ds:schemaRef ds:uri="http://www.w3.org/XML/1998/namespace"/>
    <ds:schemaRef ds:uri="7728fd35-845b-462b-86d8-9c243a2cf38c"/>
    <ds:schemaRef ds:uri="http://purl.org/dc/dcmitype/"/>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16</vt:i4>
      </vt:variant>
    </vt:vector>
  </HeadingPairs>
  <TitlesOfParts>
    <vt:vector size="23" baseType="lpstr">
      <vt:lpstr>Tracking Report</vt:lpstr>
      <vt:lpstr>Mailing List</vt:lpstr>
      <vt:lpstr>Border Comments</vt:lpstr>
      <vt:lpstr>Group Summary</vt:lpstr>
      <vt:lpstr>Demurrage Schedule</vt:lpstr>
      <vt:lpstr>Data Validation</vt:lpstr>
      <vt:lpstr>Data Table</vt:lpstr>
      <vt:lpstr>border_of_entry</vt:lpstr>
      <vt:lpstr>border_of_exit</vt:lpstr>
      <vt:lpstr>clearing_agent</vt:lpstr>
      <vt:lpstr>COD_Status</vt:lpstr>
      <vt:lpstr>customer</vt:lpstr>
      <vt:lpstr>headers</vt:lpstr>
      <vt:lpstr>IR_Status</vt:lpstr>
      <vt:lpstr>loading_point</vt:lpstr>
      <vt:lpstr>mine</vt:lpstr>
      <vt:lpstr>nationality</vt:lpstr>
      <vt:lpstr>offloading_point</vt:lpstr>
      <vt:lpstr>product</vt:lpstr>
      <vt:lpstr>route</vt:lpstr>
      <vt:lpstr>status</vt:lpstr>
      <vt:lpstr>sub_contractor</vt:lpstr>
      <vt:lpstr>transporter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Earle</dc:creator>
  <cp:lastModifiedBy>Andrew Earle</cp:lastModifiedBy>
  <dcterms:created xsi:type="dcterms:W3CDTF">2022-10-16T07:19:57Z</dcterms:created>
  <dcterms:modified xsi:type="dcterms:W3CDTF">2025-11-11T09:14:06Z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0x010100CB56CC07929CBB40BA10076665186145</vt:lpwstr>
  </property>
  <property fmtid="{D5CDD505-2E9C-101B-9397-08002B2CF9AE}" pid="3" name="MediaServiceImageTags">
    <vt:lpwstr/>
  </property>
  <property fmtid="{D5CDD505-2E9C-101B-9397-08002B2CF9AE}" pid="4" name="WorkbookGuid">
    <vt:lpwstr>4380859b-5807-4c0b-87c0-e14fc7b9b3bd</vt:lpwstr>
  </property>
</Properties>
</file>